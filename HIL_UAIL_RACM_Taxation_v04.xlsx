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825" windowWidth="14805" windowHeight="7200"/>
  </bookViews>
  <sheets>
    <sheet name="Cover Page" sheetId="2" r:id="rId1"/>
    <sheet name="Index" sheetId="3" r:id="rId2"/>
    <sheet name="GL Codes Covered" sheetId="4" r:id="rId3"/>
    <sheet name="RACM" sheetId="1" r:id="rId4"/>
    <sheet name="Deficiency Tracker" sheetId="8" r:id="rId5"/>
    <sheet name="Key Definitions_1" sheetId="5" r:id="rId6"/>
    <sheet name="Key Definitions_2" sheetId="6" r:id="rId7"/>
    <sheet name="Disclaimer" sheetId="7" r:id="rId8"/>
  </sheets>
  <definedNames>
    <definedName name="_xlnm._FilterDatabase" localSheetId="2" hidden="1">'GL Codes Covered'!$A$5:$K$35</definedName>
    <definedName name="_xlnm._FilterDatabase" localSheetId="3" hidden="1">RACM!$A$6:$X$41</definedName>
    <definedName name="AS2DocOpenMode" hidden="1">"AS2DocumentEdit"</definedName>
  </definedNames>
  <calcPr calcId="145621"/>
</workbook>
</file>

<file path=xl/calcChain.xml><?xml version="1.0" encoding="utf-8"?>
<calcChain xmlns="http://schemas.openxmlformats.org/spreadsheetml/2006/main">
  <c r="C14" i="3" l="1"/>
</calcChain>
</file>

<file path=xl/sharedStrings.xml><?xml version="1.0" encoding="utf-8"?>
<sst xmlns="http://schemas.openxmlformats.org/spreadsheetml/2006/main" count="1084" uniqueCount="362">
  <si>
    <t>ASSERTIONS</t>
  </si>
  <si>
    <t>CONTROL DETAILS</t>
  </si>
  <si>
    <t>CONTROL DESIGN EFFECTIVENESS</t>
  </si>
  <si>
    <t>OE Testing Result</t>
  </si>
  <si>
    <t>Major Process</t>
  </si>
  <si>
    <t>Sub Process</t>
  </si>
  <si>
    <t>Risk Heat</t>
  </si>
  <si>
    <t>Risk #</t>
  </si>
  <si>
    <t>Risk Description</t>
  </si>
  <si>
    <t>Control #</t>
  </si>
  <si>
    <t>Control Description</t>
  </si>
  <si>
    <t>Control Comments</t>
  </si>
  <si>
    <t xml:space="preserve"> Risk of material misstatement  (Yes, No, N/A)</t>
  </si>
  <si>
    <t>Risk of Fraud  (Yes, No, N/A)</t>
  </si>
  <si>
    <t>Existence/ Occurrence</t>
  </si>
  <si>
    <t xml:space="preserve">Completeness </t>
  </si>
  <si>
    <t>Valuation/ Allocation</t>
  </si>
  <si>
    <t xml:space="preserve">Rights/ Obligations </t>
  </si>
  <si>
    <t>Presentation/ Disclosure</t>
  </si>
  <si>
    <t>Control Evidence</t>
  </si>
  <si>
    <t>Frequency of Control</t>
  </si>
  <si>
    <t>Supporting IT Applications and/or System</t>
  </si>
  <si>
    <t>Design Gap Description</t>
  </si>
  <si>
    <t>Design Gap Ref #</t>
  </si>
  <si>
    <t>Testing Results</t>
  </si>
  <si>
    <t>Cluster Name</t>
  </si>
  <si>
    <t>Location:</t>
  </si>
  <si>
    <t>Status:</t>
  </si>
  <si>
    <t>Indirect Taxation</t>
  </si>
  <si>
    <t>Excise Duty</t>
  </si>
  <si>
    <t>Yes</t>
  </si>
  <si>
    <t>No</t>
  </si>
  <si>
    <t>Control Exists.</t>
  </si>
  <si>
    <t>Entry tax</t>
  </si>
  <si>
    <t>Entry tax is calculated is incorrect.</t>
  </si>
  <si>
    <t>Unauthorised payment.</t>
  </si>
  <si>
    <t>Service Tax</t>
  </si>
  <si>
    <t>Reverse Charge accounting</t>
  </si>
  <si>
    <t>VAT</t>
  </si>
  <si>
    <t xml:space="preserve">Incorrect or ineligible VAT credit taken </t>
  </si>
  <si>
    <t>High</t>
  </si>
  <si>
    <t>Medium</t>
  </si>
  <si>
    <t>Event Driven</t>
  </si>
  <si>
    <t>Automated</t>
  </si>
  <si>
    <t>Oracle</t>
  </si>
  <si>
    <t>Preventive</t>
  </si>
  <si>
    <t>IT dependent</t>
  </si>
  <si>
    <t>Manual</t>
  </si>
  <si>
    <t>Detective</t>
  </si>
  <si>
    <t>Draft</t>
  </si>
  <si>
    <t>Incorrect or ineligible Cenvat credit maybe taken.</t>
  </si>
  <si>
    <t>Non Monitoring of the Goods sent for Job Work resulting in incorrect Cenvat credit taken.</t>
  </si>
  <si>
    <t>Non reversal of cenvat credit for the inputs and capital goods.</t>
  </si>
  <si>
    <t>Non monitoring and maintenance of the  rate of excise duty.</t>
  </si>
  <si>
    <t>Control Nature
(Preventive, Detective)</t>
  </si>
  <si>
    <t>Process Owner (include title)</t>
  </si>
  <si>
    <t>Control Method (Manual /  Automated / IT Dependent)</t>
  </si>
  <si>
    <t>Key Control? (Yes, No, N/A)</t>
  </si>
  <si>
    <t>Direct Taxation</t>
  </si>
  <si>
    <t>TDS</t>
  </si>
  <si>
    <t>Inaccurate deduction/deposition of TDS Liability.</t>
  </si>
  <si>
    <t>x</t>
  </si>
  <si>
    <t>1. Screenshot of code selected which auto fetch the rate and TDS section.</t>
  </si>
  <si>
    <t>Low</t>
  </si>
  <si>
    <t>Quarterly</t>
  </si>
  <si>
    <t>TDS master is updated by the IT on the basis of mail received from tax department, in case of any amendments / modification in provisions of Income Tax Act.
IT department linked the TDS master with the sub ledger code.</t>
  </si>
  <si>
    <t>TCS</t>
  </si>
  <si>
    <t>Inaccurate deduction/deposition of TCS</t>
  </si>
  <si>
    <t>JV for VAT Availment and computation
Scanned copy of JV with signature of authorized approver</t>
  </si>
  <si>
    <t>The rate of VAT for the different finished products is maintained by the central IT team in CFD. On obtaining confirmation from the head of the Indirect Tax for the change in the tax rates IT team change the rate of tax.</t>
  </si>
  <si>
    <t xml:space="preserve">Advance Tax &amp; Provision for Tax </t>
  </si>
  <si>
    <t>Advance tax is paid based on incorrect data.</t>
  </si>
  <si>
    <t>N/A</t>
  </si>
  <si>
    <t>Estimated Advance income tax payments made are:
• Not recorded
• Recorded at incorrect amounts</t>
  </si>
  <si>
    <t>Provision for tax is made based on incorrect data.</t>
  </si>
  <si>
    <t>1) Copy of approval</t>
  </si>
  <si>
    <t>Incorrect recording of provision for taxation in books of accounts</t>
  </si>
  <si>
    <t>1) List of journal entries shared with accounts
2) Screenshot of correct accounting entry passed in the system</t>
  </si>
  <si>
    <t>Deferred Tax Asset (DTA) / Deferred Tax Liability (DTL)</t>
  </si>
  <si>
    <t xml:space="preserve">Deferred tax asset/liability (DTA/DTL) computation based on incorrect / incomplete inputs </t>
  </si>
  <si>
    <t>1) Computation of Deferred Tax
2) Statement of reconciliation</t>
  </si>
  <si>
    <t>Incorrect reversal of deferred tax asset/liability</t>
  </si>
  <si>
    <t>1) Tax exemption certificate</t>
  </si>
  <si>
    <t xml:space="preserve">Deferred Tax Assets/ Liabilities are inaccurately computed </t>
  </si>
  <si>
    <t>1) Copy of approval
2) Rate reconciliation statement</t>
  </si>
  <si>
    <t>Deferred tax assets/ liabilities are inaccurately recorded in the books of accounts.</t>
  </si>
  <si>
    <t>1) Screenshot of tax master with rates and other details in the system
2) Guidelines issued to the various units by DT team
3) Review documentation for section 195 deductions</t>
  </si>
  <si>
    <t>Event driven</t>
  </si>
  <si>
    <t>TDS recoverable amount accounted in books of account is different than actual tax withhold by customer / vendor</t>
  </si>
  <si>
    <t>1) Reconciliation statement for TDS recoverable as per books and as per 26AS</t>
  </si>
  <si>
    <t>Yearly</t>
  </si>
  <si>
    <t>Incorrect TDS figures incorporated in tax computations (i.e. both Advance tax and Provision for tax)</t>
  </si>
  <si>
    <t>Incorrect updation of withhold tax master
(vendor payments)</t>
  </si>
  <si>
    <t>1) MIS for lower deduction certificates</t>
  </si>
  <si>
    <t>Tax Payment Process</t>
  </si>
  <si>
    <t>Delay or non payment of monthly / Quarterly / Yearly  tax liability</t>
  </si>
  <si>
    <t>Demand and Assessment orders</t>
  </si>
  <si>
    <t xml:space="preserve">- Penalties or interest resulting from  Delay in payment/ submission of return 
- Demand arising from assessment orders / show cause notices / appellate orders.
• Not recorded
• Inaccurately recorded. </t>
  </si>
  <si>
    <t>1) Calculation sheets while reviewing demand/show cause notice</t>
  </si>
  <si>
    <t>Minimum Alternate Tax (MAT)</t>
  </si>
  <si>
    <t>Incorrect computation and treatment of MAT</t>
  </si>
  <si>
    <t>1) Computation of MAT liability
2) Copy of approval</t>
  </si>
  <si>
    <t>Contingent Liability accounting</t>
  </si>
  <si>
    <t>Non-disclosure of contingent liabilities</t>
  </si>
  <si>
    <t>1) Documentation maintained for contingent liability disclosure</t>
  </si>
  <si>
    <t>On the basis of approval, Provision for tax entry is posted by authorised person from accounts team on quarterly basis based on the journal entries shared by Tax team.</t>
  </si>
  <si>
    <t>On monthly basis, balance in TDS /Advance Tax / DDT payable accounts are transferred to another GL account (Payable to Tax Authority).
Bank Payment voucher is prepared by debiting GL account Payable to Tax Authorities.</t>
  </si>
  <si>
    <t>Authorised person from accounts team posts a journal entry for deferred tax assets / liabilities (including reversals and adjustments, if any) in the system.</t>
  </si>
  <si>
    <t xml:space="preserve">DT team makes an assessment on case to case basis which is then reviewed by the GM Finance &amp; Accounts and accordingly a call is taken on disclosing it as a contingent liability
</t>
  </si>
  <si>
    <t>JV Screenshot</t>
  </si>
  <si>
    <t>Screenshot of the same in Oracle</t>
  </si>
  <si>
    <t>Detailed calculations are made by the Tax team on receipt of demand/show cause notice.
The GM Finance &amp; Accounts approve this file and approve the same for payment post which accounts is intimated to pass the necessary entries.</t>
  </si>
  <si>
    <t>Detailed computation of MAT in accordance with the provisions of Income Tax Act is done by the DT team. MAT calculations are approved by the GM Finance &amp; Accounts</t>
  </si>
  <si>
    <t>INDEX</t>
  </si>
  <si>
    <t>Sr.No.</t>
  </si>
  <si>
    <t>Particulars</t>
  </si>
  <si>
    <t>RACM'!A1</t>
  </si>
  <si>
    <t>Coverage Map '!A1</t>
  </si>
  <si>
    <t>Disclaimer</t>
  </si>
  <si>
    <t>Disclaimer'!A1</t>
  </si>
  <si>
    <t>Head</t>
  </si>
  <si>
    <t>Definition</t>
  </si>
  <si>
    <t>Assertion</t>
  </si>
  <si>
    <t>Description</t>
  </si>
  <si>
    <t>Process</t>
  </si>
  <si>
    <t xml:space="preserve">Name of the process which is being tested, for instance  Order to Cash (OTC), Procure to Pay (PTP), Financial Statement Close (FSCP), etc. </t>
  </si>
  <si>
    <t>An assertion that an asset or a liability exists at a point in time or a recorded transaction or event actually took place during the period.</t>
  </si>
  <si>
    <t>Major-Process</t>
  </si>
  <si>
    <t>List the name of the Major process  (eg. Acounts Payable)</t>
  </si>
  <si>
    <t>Completeness</t>
  </si>
  <si>
    <t>An assertion that there are no unrecorded assets, liabilities, transactions or events or undisclosed items.</t>
  </si>
  <si>
    <t>Each risk  requires a unique identifier within a RACM.  Risk Number consist of risk initials and a sequence of numbers. For e.g R1,R2, R3 etc</t>
  </si>
  <si>
    <t>An assertion that an asset, liability, transaction, or event is recorded at an appropriate amount and revenue or expense is allocated to the proper period.</t>
  </si>
  <si>
    <t>Primary business risks linked to a process. Record the description of the risks relating to the Process Flow as described and defined during the preparation of flowchart and process narratives.</t>
  </si>
  <si>
    <t>Rights/ Obligations</t>
  </si>
  <si>
    <t>An assertion that an asset or a liability pertains to the company at a point in time.</t>
  </si>
  <si>
    <t xml:space="preserve">Each control requires a unique identifier within a RACM.  Control Number consist of IC  initials, Process Flow initials and a sequence of numbers. For e.g OTC01,OTC2, OTC3 </t>
  </si>
  <si>
    <t>An assertion that an item is properly classified, described, and disclosed in the financial statements.</t>
  </si>
  <si>
    <r>
      <t>A control description which covers how the control operates and what key elements are involved</t>
    </r>
    <r>
      <rPr>
        <sz val="10"/>
        <color rgb="FFFF0000"/>
        <rFont val="Arial"/>
        <family val="2"/>
      </rPr>
      <t>.</t>
    </r>
  </si>
  <si>
    <t>Select the option appropriately based on the following - 
Control Exists - Documented control exists and is functioning
Design Gap - Control Does not Exists</t>
  </si>
  <si>
    <t>Status of RACM</t>
  </si>
  <si>
    <t xml:space="preserve">Description </t>
  </si>
  <si>
    <t xml:space="preserve">Risk of material misstatement </t>
  </si>
  <si>
    <t>Yes or No - assess risk whether due to fraud or error</t>
  </si>
  <si>
    <t xml:space="preserve"> Draft - Not Validated by Process Owners.</t>
  </si>
  <si>
    <t>At the time of preparation</t>
  </si>
  <si>
    <t xml:space="preserve">Control Evidence is a document which is the proof of existence and functioning of the control.Examples are as follows - 
- Screen Shots of Automated controls (System approvals of PO,PR,Three-way match configuration etc.)
- Access Rights
- Screen shots of Approval Emails
- Policy Documents (Pricing,Discount etc)
- Copies of supporting documentation (Security Check,weighment slip, Approvals, POs,GRNs, invoices etc.
</t>
  </si>
  <si>
    <t>Draft - Validated by Process Owners.</t>
  </si>
  <si>
    <t>After validation at IC</t>
  </si>
  <si>
    <t>Validated by Process Owners and PMO</t>
  </si>
  <si>
    <t>After Validation at IC and  at Corporate office</t>
  </si>
  <si>
    <t>Control Type:</t>
  </si>
  <si>
    <t xml:space="preserve">M </t>
  </si>
  <si>
    <t>Manual:  Controls that are completely performed by an individual or individuals without the aid of a computer, for example, reviewing/approving a journal entry.</t>
  </si>
  <si>
    <t xml:space="preserve">A </t>
  </si>
  <si>
    <t>Automated:  Controls that are performed completely by a computer application or process, such as edit checks, validations, calculations, interfaces, and reporting.</t>
  </si>
  <si>
    <t>ITD</t>
  </si>
  <si>
    <t>IT Dependent:  Manual controls (usually detect controls) that are dependent upon complete and accurate IT processing to be fully effective, such as a review of a computer-generated open orders report to ensure that all sales are processed.</t>
  </si>
  <si>
    <t xml:space="preserve">Control Nature - </t>
  </si>
  <si>
    <t>Control existing before a transaction is carried out to identify errors and prevent occurrence of risk.</t>
  </si>
  <si>
    <t>Controls existing after a transaction is carried out to identify and detect occurrence of error.</t>
  </si>
  <si>
    <t>Control Frequency</t>
  </si>
  <si>
    <t>Annually</t>
  </si>
  <si>
    <t>Control performed once a year</t>
  </si>
  <si>
    <t>Half Yearly</t>
  </si>
  <si>
    <t xml:space="preserve">Control performed every 6 months. Often the frequency applicable for controls related with financial reporting </t>
  </si>
  <si>
    <t xml:space="preserve">Control performed every 3 months. Often the frequency applicable for controls related with financial reporting </t>
  </si>
  <si>
    <t>Monthly</t>
  </si>
  <si>
    <t>Controls performed once a month</t>
  </si>
  <si>
    <t>Bi-weekly</t>
  </si>
  <si>
    <t>Control performed  once in two weeks</t>
  </si>
  <si>
    <t>Weekly</t>
  </si>
  <si>
    <t>Control performed  one or more times within a week</t>
  </si>
  <si>
    <t>Daily</t>
  </si>
  <si>
    <t>Controls performed once a day</t>
  </si>
  <si>
    <t>Multiple times per day</t>
  </si>
  <si>
    <t>Controls performed several times every day and other frequency not described above</t>
  </si>
  <si>
    <t>Controls are event driven</t>
  </si>
  <si>
    <t>Key Control Identification</t>
  </si>
  <si>
    <t>Controls that, if not in place or not functioning correctly, could potentially lead to a fraud, material error or significant misstatement in the financial statements (either individually or in the aggregate)</t>
  </si>
  <si>
    <t>Non-key controls are controls that could be relied upon at least partly to mitigate risk if the key control is absent, not designed properly or fails operationally</t>
  </si>
  <si>
    <t>Control Comment</t>
  </si>
  <si>
    <t>Control Exists</t>
  </si>
  <si>
    <t>Design Gap</t>
  </si>
  <si>
    <t>Deficient Control</t>
  </si>
  <si>
    <t>Process: Taxation</t>
  </si>
  <si>
    <t>Taxation</t>
  </si>
  <si>
    <t>TAX.UAIL.01</t>
  </si>
  <si>
    <t>1. Screen shot of the flagging done in the system for the cenvat.</t>
  </si>
  <si>
    <t>Samir Rout</t>
  </si>
  <si>
    <t>TAX.UAIL.02</t>
  </si>
  <si>
    <t>The rate of the excise duty for the different finished products is maintained by the central IT team in CFD. On obtaining confirmation from the head of the Indirect Tax for the change in the tax rates IT team change the rate of tax.</t>
  </si>
  <si>
    <t>1) Mail from the head of the Indirect Tax for the changing the rate of the tax. 
2) Screen shot of the new rate that would be incorporated</t>
  </si>
  <si>
    <t>TAX.UAIL.03</t>
  </si>
  <si>
    <t>Daily stock registers are maintained manually in RG1 stock register with regards to the opening stock, quantity manufactured and dispatched. The excise department reconciles the Closing stock in the system with the opening stock every next day.</t>
  </si>
  <si>
    <t>TAX.UAIL.04</t>
  </si>
  <si>
    <t>A job work register is maintained which contains the list of the material sent for job work and is monitored regularly and in case of the goods are not receipt within 180 days it is reversed.</t>
  </si>
  <si>
    <t>1. Job work register copy.</t>
  </si>
  <si>
    <t>TAX.UAIL.05</t>
  </si>
  <si>
    <t>TAX.UAIL.06</t>
  </si>
  <si>
    <t>TAX.UAIL.07</t>
  </si>
  <si>
    <t>TAX.UAIL.09</t>
  </si>
  <si>
    <t>Entry Tax Computation Sheet
Entry tax listing of material</t>
  </si>
  <si>
    <t>TAX.UAIL.10</t>
  </si>
  <si>
    <t>TAX.UAIL.13</t>
  </si>
  <si>
    <t>TAX.UAIL.14</t>
  </si>
  <si>
    <t>TAX.UAIL.16</t>
  </si>
  <si>
    <t>TAX.UAIL.18</t>
  </si>
  <si>
    <t>TAX.UAIL.19</t>
  </si>
  <si>
    <t>TAX.UAIL.20</t>
  </si>
  <si>
    <t>TAX.UAIL.21</t>
  </si>
  <si>
    <t>TAX.UAIL.22</t>
  </si>
  <si>
    <t>TAX.UAIL.23</t>
  </si>
  <si>
    <t>TAX.UAIL.24</t>
  </si>
  <si>
    <t>TAX.UAIL.25</t>
  </si>
  <si>
    <t>TAX.UAIL.26</t>
  </si>
  <si>
    <t>Provision for Tax computation is approved by the Finance Head and Unit head then entry is passed by Accounts department</t>
  </si>
  <si>
    <t>TAX.UAIL.27</t>
  </si>
  <si>
    <t>TAX.UAIL.28</t>
  </si>
  <si>
    <t>TAX.UAIL.29</t>
  </si>
  <si>
    <t>The Tax team monitors the tax holiday period based on the exemption certificate issued and accounts team is informed accordingly to reverse DTA/DTL previously recorded.</t>
  </si>
  <si>
    <t>TAX.UAIL.30</t>
  </si>
  <si>
    <t>TAX.UAIL.31</t>
  </si>
  <si>
    <t>TAX.UAIL.32</t>
  </si>
  <si>
    <t>TAX.UAIL.36</t>
  </si>
  <si>
    <t>TAX.UAIL.37</t>
  </si>
  <si>
    <t>Special deductions &amp; Tax holidays</t>
  </si>
  <si>
    <t>Sr. No.</t>
  </si>
  <si>
    <t>Mega Process</t>
  </si>
  <si>
    <t>Gap Ref No.</t>
  </si>
  <si>
    <t>Content of Deficiency</t>
  </si>
  <si>
    <t>Key Control / Key Gap</t>
  </si>
  <si>
    <t>Nature of Gap</t>
  </si>
  <si>
    <t>Issue Type</t>
  </si>
  <si>
    <t>UAIL</t>
  </si>
  <si>
    <t>PG/PF/SOD</t>
  </si>
  <si>
    <t>Deficient Control / Design Gap</t>
  </si>
  <si>
    <t>Remediation Plan</t>
  </si>
  <si>
    <t>Process Owner</t>
  </si>
  <si>
    <t>Schedule Date of Completion</t>
  </si>
  <si>
    <t>UAIL-Tax-01</t>
  </si>
  <si>
    <t>There is absence of mapping in the PO whether the  material purchased is CENVATABLE or not. The current process is item-wise manual identification every month</t>
  </si>
  <si>
    <t>Process Formalisation</t>
  </si>
  <si>
    <t>In most of the  cases it is mapped at  PO level.  For balance we are taking care to map at the time PO lavel</t>
  </si>
  <si>
    <t>31.03.2015</t>
  </si>
  <si>
    <t>UAIL-Tax-02</t>
  </si>
  <si>
    <t>Absence of mapping in GRN whether material received is VATABLE or not:
1. At the time of GRN goods are not classified as vatable in the system resulting in incorrect availment of credit. 
2) No rate is mapped into the system applicable on the goods purchased.</t>
  </si>
  <si>
    <t>We will assess and find out a way to map at the time of issue of PO</t>
  </si>
  <si>
    <t>There is absence of the coding of services under the reverse charge mechanism resulting in non recognition of the services chargeable  under the reverse charge mechanism and resulting in the  wrong booking of liability.</t>
  </si>
  <si>
    <t>In most of the cases it is coded and it is being selected at the time of bill passing. It is not possible to map at the time of issue of PO as in some cases we are not issuing PO for Exp. Payment to Directors.  In case of Works cotract  it is ascetainable for invoice only.  Hence we are doing at the time of bill passing only.</t>
  </si>
  <si>
    <t>UAIL-Tax-04</t>
  </si>
  <si>
    <t>Absence of Independent review by tax department of correct rate applied for deduction of tax at source.</t>
  </si>
  <si>
    <t>Process Gap</t>
  </si>
  <si>
    <t>It is not possible to review individually.  However at month end it is being revied by tax department before deposit of TDS amount with Government.</t>
  </si>
  <si>
    <t xml:space="preserve">As it is practically not possible to study all aspects of a process in its entirety thoroughly during the limited time period of an IFC review, based on our methodology for conducting IFC review, we conducted a review of the process &amp; held discussions with the process owners &amp; other key people in the process during the planning stage of IFC review which helped us in identifying specific areas where control weaknesses &amp; process gaps may exist, opportunities for process improvement &amp; / or cost reduction / revenue enhancement. 
Our subsequent test work, study of issues in detail &amp; developing action plans are directed towards the issues identified. Consequently this report may not necessarily comment on all the function / process related matters perceived as important by the management. 
The issues identified &amp; proposed action plans in this report are based on our discussions with the people engaged in the process, review of relevant documents/records &amp; our physical observation of the activities in the process. We made specific efforts to verify the accuracy &amp; authenticity of the information gathered only in those cases where it was felt necessary. The work carried out &amp; the analysis thereof is based on the interviews with the personnel &amp; the records provided by them. The identification of the issues in the report is mainly based on the review of records, sample verification of documents / transactions &amp; physical observation of the events. As the basis of sample selection is purely judgmental in view of the time available, the outcome of the analysis may not be exhaustive &amp; representing all possibilities, though we have taken reasonable care to cover the major eventualities.
This report is meant for UAIL’s management only &amp; should not be quoted or referred to without our prior written consent
</t>
  </si>
  <si>
    <t>Risk and Control Matrix - Taxation - Direct &amp; Indirect</t>
  </si>
  <si>
    <t>Odisha</t>
  </si>
  <si>
    <r>
      <t>At the time of booking of purchase invoice Sr Executive - Accounts creates service tax liability on the services received under reverse charge mechanism by passing the entry:
Service Code A/c Dr
To Service Tax Liability A/c
The JV is signed on physical copy by AGM Taxation
Service code contains whether the service is charged under reverse charge mechanism.</t>
    </r>
    <r>
      <rPr>
        <b/>
        <u/>
        <sz val="9"/>
        <color theme="1"/>
        <rFont val="Arial"/>
        <family val="2"/>
      </rPr>
      <t/>
    </r>
  </si>
  <si>
    <t>1. At the time of GRN goods are not classified as vat able in the system resulting in incorrect availment of credit. 
2) No rate is mapped into the system applicable on the goods purchased.</t>
  </si>
  <si>
    <t>Quantitative Criteria</t>
  </si>
  <si>
    <t>INR Cr</t>
  </si>
  <si>
    <r>
      <t xml:space="preserve">Threshold %
</t>
    </r>
    <r>
      <rPr>
        <b/>
        <i/>
        <sz val="8"/>
        <rFont val="EYInterstate Light"/>
      </rPr>
      <t>(Input % Threshold)</t>
    </r>
  </si>
  <si>
    <t>Materiality Threshold</t>
  </si>
  <si>
    <t>Final Threshold (Min/ Max or Average of the 2)</t>
  </si>
  <si>
    <t>Criteria for Final Threshold -----&gt;</t>
  </si>
  <si>
    <t>Minimum</t>
  </si>
  <si>
    <t>Revenue</t>
  </si>
  <si>
    <t>PBT (Loss)</t>
  </si>
  <si>
    <t>Business Cylce</t>
  </si>
  <si>
    <t>GL Code</t>
  </si>
  <si>
    <t>Balance Sheet / Income Statement</t>
  </si>
  <si>
    <t>Consolidated</t>
  </si>
  <si>
    <t>Amount in Cr</t>
  </si>
  <si>
    <t>Account Caption to be considered?
(Quantitative Factors)</t>
  </si>
  <si>
    <t>Size and Composition  (A)</t>
  </si>
  <si>
    <t>Subjectivity and Estimation (B)</t>
  </si>
  <si>
    <t>Susceptability to Loss / Misstatement Due to Error or Fraud (C)</t>
  </si>
  <si>
    <t>Complexity of Transactions (D)</t>
  </si>
  <si>
    <t>Conclusion</t>
  </si>
  <si>
    <t>Excise Duty Payable on Sales</t>
  </si>
  <si>
    <t>Y</t>
  </si>
  <si>
    <t>N</t>
  </si>
  <si>
    <t>Cenvat on Capital Goods</t>
  </si>
  <si>
    <t>Cenvat Receivable on Capital Goods</t>
  </si>
  <si>
    <t>Ed Cess on ED Payable on Sales</t>
  </si>
  <si>
    <t>TDS on Works Contract Payable</t>
  </si>
  <si>
    <t>Advance Payment of Income Tax</t>
  </si>
  <si>
    <t>Excise Duty on FG Opening Stocks</t>
  </si>
  <si>
    <t>y</t>
  </si>
  <si>
    <t>Sec High Ed Cess on ED payable on Sales</t>
  </si>
  <si>
    <t>Provision for Current Tax</t>
  </si>
  <si>
    <t>Excise Duty on FG Closing Stocks</t>
  </si>
  <si>
    <t>Provision for Income Tax</t>
  </si>
  <si>
    <t>TDS Payable</t>
  </si>
  <si>
    <t>TCS Deduction U/s.206 C</t>
  </si>
  <si>
    <t>State Entry Tax Payable</t>
  </si>
  <si>
    <t>TDS on Incomes</t>
  </si>
  <si>
    <t>Disputed Liab.of Income Tax &amp; Interest</t>
  </si>
  <si>
    <t>Sales Tax/ Excise Duty Absorption</t>
  </si>
  <si>
    <t>Rates, Taxes &amp; License Fees</t>
  </si>
  <si>
    <t>Service Tax Interim Recovery Account</t>
  </si>
  <si>
    <t>Advance Payment of FBT</t>
  </si>
  <si>
    <t>Provision for Fringe Benefits Tax</t>
  </si>
  <si>
    <t>Provision for Excise Duty on FG Stock</t>
  </si>
  <si>
    <t>Interest Paid on late payment of TDS</t>
  </si>
  <si>
    <t>Service Tax Recovered/Payable</t>
  </si>
  <si>
    <t>VAT Payable</t>
  </si>
  <si>
    <t>Current Tax for the year</t>
  </si>
  <si>
    <t>Central Sales Tax Payable</t>
  </si>
  <si>
    <t>Cenvat on Input Items</t>
  </si>
  <si>
    <t>Interest Paid to Sales Tax Department</t>
  </si>
  <si>
    <t>Cenvat on Input Services</t>
  </si>
  <si>
    <t>Deficiency Tracker - Taxation</t>
  </si>
  <si>
    <t>Incorrect rates considered for TDS leading to incorrect liability reported in balance sheet</t>
  </si>
  <si>
    <t>At the time of entry in the cenvat module the rate and value of excise duty is automated and is mapped with PO. For the goods classified as Capital at the time entry in the cenvat register system automatically transfers only 50% of the receivable account and the balance 50% is transferred to outstanding automatically.</t>
  </si>
  <si>
    <r>
      <t xml:space="preserve">Invoicing booking team deduct the TDS by making the entry in sub ledger code which automatically fetches the TDS rate from the TDS master and auto calculate the TDS amount.
</t>
    </r>
    <r>
      <rPr>
        <b/>
        <u/>
        <sz val="9"/>
        <color theme="1"/>
        <rFont val="Arial"/>
        <family val="2"/>
      </rPr>
      <t/>
    </r>
  </si>
  <si>
    <t>Certification for tax holiday under Section 80-IA is not taken from the Tax Auditor.</t>
  </si>
  <si>
    <t>Absence of certification taken for 80-IA leading to disallowance of exemption</t>
  </si>
  <si>
    <t>Risk Descrepition</t>
  </si>
  <si>
    <t>Computation of VAT availment is done by the DGM Tax, JV for Availment of the vat on the capital purchases is entered by accounts executive and approved by the AGM Taxation and subsequently by the DGM Accounts.</t>
  </si>
  <si>
    <t>1. Copy of the Daily stock register RG1
2. Closing stock as per the Stores post physical verification
3. Physical verification signed copy</t>
  </si>
  <si>
    <t>1. Cases where TCS has been collected and accounted before invoice booking
2. Computation of total liability for the month and deposit slips</t>
  </si>
  <si>
    <t>1. TDS Computations and calculations and formal sign off of Certificates
2. Review by AGM Tax</t>
  </si>
  <si>
    <t>Item masters are flagged at the time whether the item is cenvatable or not. Capital goods  flagged as the CGEX and CGIN for capital goods which are imported and indigenous respectively.</t>
  </si>
  <si>
    <t>Service tax recorded for the service tax may not be correct.</t>
  </si>
  <si>
    <t>Bill passing department records the service tax charged in the system  as per the invoice submitted by the vendor which is passed by the designated approver in the oracle system.</t>
  </si>
  <si>
    <t>None</t>
  </si>
  <si>
    <t>Service tax liability may not been correctly recorded for the services covered under the reverse charge mechanism.</t>
  </si>
  <si>
    <t>IT Enhancement</t>
  </si>
  <si>
    <t>Internal Control Improvements'A1</t>
  </si>
  <si>
    <t>TAX.UAIL.11</t>
  </si>
  <si>
    <t>TAX.UAIL.12</t>
  </si>
  <si>
    <t>Incorrect or ineligible Cenvat credit taken.</t>
  </si>
  <si>
    <t>Incorrect or ineligible Cenvat credit taken for the balance outstanding in Cenvat receivable account for the capital goods.</t>
  </si>
  <si>
    <t>Non monitoring excise duty payable</t>
  </si>
  <si>
    <t>Updated: 4th February, 2016</t>
  </si>
  <si>
    <t>GL Codes Covered</t>
  </si>
  <si>
    <t>RACM</t>
  </si>
  <si>
    <t>Deficiency Tracker</t>
  </si>
  <si>
    <t xml:space="preserve">The Taxation team takes a month wise report of the GRN and identifies procurements from outside of Odisha. Based on the material type, entry tax is calculated - whether 1%, 2% or 0.5%. An excel sheet listing of material is maintained on which items entry tax is applicable and at what percentage.
</t>
  </si>
  <si>
    <t>30.04.2016</t>
  </si>
  <si>
    <t>Implemented</t>
  </si>
  <si>
    <t>The DGM Taxation posts the JV for netting off the CENVAT credit towards the excise liability and the same is approved by the GM F&amp;A. The CENVAT credit has been utilized towards the entire Excise Liability till date and payments have not been made for excise duty.</t>
  </si>
  <si>
    <t xml:space="preserve">For Capital Goods, a monthly calculation is done by finance team for the capital goods sold and the Cenvat credit to be reversed on the same. </t>
  </si>
  <si>
    <t>All TDS deductions are done based on the tax master specifying the rates of TDS to be deducted under various sections. Deduction of TDS under section 195 is reviewed by taxation department.</t>
  </si>
  <si>
    <t>1. Independent review of correct deduction of tax at source is not done by Tax department.</t>
  </si>
  <si>
    <t>Every Quarter, the trial balance is sent to third party by taxation department. The third party computes the advance tax liability if any. However, there is no advance tax paid till now since the company is running in loss.</t>
  </si>
  <si>
    <t>All TDS calculations and payments are made by Tax team. The computation of Advance tax and provision for tax is reviewed by outsourced professional after obtaining TDS figures from 26AS.</t>
  </si>
  <si>
    <t>GM Finance and Accounts approve deferred tax calculations. Computations are done to identify temporary and permanent differences</t>
  </si>
  <si>
    <t>Temporary and permanent differences are identified and a reconciliation exercise is performed annually by the AGM Taxation and approved by GM Finance &amp; Accounts</t>
  </si>
  <si>
    <t>Various expenses, disallowances, income adjustments are made based on computation by the outsourced professional..</t>
  </si>
  <si>
    <t>Advance tax payments computations are reviewed by Finance head and unit head and prepared by the AGM Tax in liaison with the outsourced professional.</t>
  </si>
  <si>
    <t>Provision for tax is computed based on quarterly review of trial balance and statement of accounts by the AGM Tax based on the input from outsourced professional.</t>
  </si>
  <si>
    <t>Every year the JV is passed by the Tax Team for the transfer of the outstanding receivable to the receivable account  as on year end. The JV Entry is approved by the designated approver.</t>
  </si>
  <si>
    <t xml:space="preserve">Bills passing team deducts the TCS at the time of invoice booking. Tax department reviews the liability for the month and deposit it before due date.
</t>
  </si>
  <si>
    <t>TAX.UAIL.08</t>
  </si>
  <si>
    <t>TAX.UAIL.15</t>
  </si>
  <si>
    <t>TAX.UAIL.17</t>
  </si>
  <si>
    <t>TAX.UAIL.35</t>
  </si>
  <si>
    <t>Lower deduction certificate received from vendors are maintained in files and are monitored and the same is also reviewed by Tax team
At the time of invoice processing rate as per certificate is considered for tax deduction.</t>
  </si>
  <si>
    <t>Category wise withhold tax rates are defined in Tax master. Any change in tax environment is initiated by AGM Tax and approved by GM Accounts and Finance.</t>
  </si>
  <si>
    <t>On yearly basis, Form 26AS of Income Tax is reviewed by DGM Tax. Reconciliation is made between TDS receivable as per 26AS and books of accounts by the DGM Taxation.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</si>
</sst>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 #,##0.00_ ;_ * \-#,##0.00_ ;_ * &quot;-&quot;??_ ;_ @_ "/>
    <numFmt numFmtId="164" formatCode="_(* #,##0_);_(* \(#,##0\);_(* &quot;-&quot;??_);_(@_)"/>
    <numFmt numFmtId="165" formatCode="0.000000"/>
    <numFmt numFmtId="166" formatCode="&quot;(&quot;0%&quot;)   &quot;;[Red]\-&quot;(&quot;0%&quot;)   &quot;;&quot;－    &quot;"/>
    <numFmt numFmtId="167" formatCode="&quot;(&quot;0.00%&quot;)   &quot;;[Red]\-&quot;(&quot;0.00%&quot;)   &quot;;&quot;－    &quot;"/>
    <numFmt numFmtId="168" formatCode="0.00%;[Red]\-0.00%;&quot;－&quot;"/>
    <numFmt numFmtId="169" formatCode="0.0000%"/>
    <numFmt numFmtId="170" formatCode="_ * #,##0_ ;_ * \-#,##0_ ;_ * &quot;-&quot;??_ ;_ @_ "/>
  </numFmts>
  <fonts count="39">
    <font>
      <sz val="11"/>
      <color theme="1"/>
      <name val="Calibri"/>
      <family val="2"/>
      <scheme val="minor"/>
    </font>
    <font>
      <sz val="11"/>
      <name val="ＭＳ Ｐゴシック"/>
      <family val="3"/>
      <charset val="128"/>
    </font>
    <font>
      <sz val="9"/>
      <color theme="1"/>
      <name val="Arial"/>
      <family val="2"/>
    </font>
    <font>
      <sz val="9"/>
      <name val="Arial"/>
      <family val="2"/>
    </font>
    <font>
      <sz val="11"/>
      <color theme="1"/>
      <name val="Calibri"/>
      <family val="2"/>
      <scheme val="minor"/>
    </font>
    <font>
      <b/>
      <sz val="8"/>
      <color theme="1"/>
      <name val="Arial"/>
      <family val="2"/>
    </font>
    <font>
      <sz val="8"/>
      <color theme="1"/>
      <name val="Arial"/>
      <family val="2"/>
    </font>
    <font>
      <b/>
      <sz val="8"/>
      <color rgb="FF515151"/>
      <name val="Arial"/>
      <family val="2"/>
    </font>
    <font>
      <b/>
      <sz val="14"/>
      <color theme="1"/>
      <name val="Arial"/>
      <family val="2"/>
    </font>
    <font>
      <sz val="12"/>
      <color theme="1"/>
      <name val="Arial"/>
      <family val="2"/>
    </font>
    <font>
      <b/>
      <sz val="12"/>
      <color theme="1"/>
      <name val="Arial"/>
      <family val="2"/>
    </font>
    <font>
      <b/>
      <sz val="12"/>
      <color theme="0"/>
      <name val="Arial"/>
      <family val="2"/>
    </font>
    <font>
      <u/>
      <sz val="10"/>
      <color theme="10"/>
      <name val="Arial"/>
      <family val="2"/>
    </font>
    <font>
      <u/>
      <sz val="12"/>
      <color theme="10"/>
      <name val="Arial"/>
      <family val="2"/>
    </font>
    <font>
      <sz val="10"/>
      <color theme="1"/>
      <name val="Arial"/>
      <family val="2"/>
    </font>
    <font>
      <sz val="10"/>
      <name val="Arial"/>
      <family val="2"/>
    </font>
    <font>
      <b/>
      <sz val="10"/>
      <color theme="1"/>
      <name val="Arial"/>
      <family val="2"/>
    </font>
    <font>
      <sz val="10"/>
      <color rgb="FFFF0000"/>
      <name val="Arial"/>
      <family val="2"/>
    </font>
    <font>
      <u/>
      <sz val="10"/>
      <name val="Arial"/>
      <family val="2"/>
    </font>
    <font>
      <sz val="10"/>
      <name val="Arial Narrow"/>
      <family val="2"/>
    </font>
    <font>
      <u/>
      <sz val="10"/>
      <name val="Arial Narrow"/>
      <family val="2"/>
    </font>
    <font>
      <b/>
      <sz val="10"/>
      <name val="Arial Narrow"/>
      <family val="2"/>
    </font>
    <font>
      <b/>
      <u/>
      <sz val="10"/>
      <color theme="1"/>
      <name val="Arial"/>
      <family val="2"/>
    </font>
    <font>
      <sz val="10"/>
      <name val="EYInterstate Light"/>
    </font>
    <font>
      <b/>
      <sz val="9"/>
      <color theme="1"/>
      <name val="Arial"/>
      <family val="2"/>
    </font>
    <font>
      <u/>
      <sz val="11"/>
      <color theme="10"/>
      <name val="Calibri"/>
      <family val="2"/>
      <scheme val="minor"/>
    </font>
    <font>
      <sz val="11"/>
      <name val="ＭＳ ゴシック"/>
      <family val="3"/>
      <charset val="128"/>
    </font>
    <font>
      <sz val="11"/>
      <name val="ＭＳ 明朝"/>
      <family val="1"/>
      <charset val="128"/>
    </font>
    <font>
      <b/>
      <sz val="14"/>
      <name val="ＭＳ Ｐゴシック"/>
      <family val="3"/>
      <charset val="128"/>
    </font>
    <font>
      <sz val="9"/>
      <name val="EYInterstate Light"/>
    </font>
    <font>
      <b/>
      <sz val="8"/>
      <name val="EYInterstate Light"/>
    </font>
    <font>
      <sz val="8"/>
      <name val="EYInterstate Light"/>
    </font>
    <font>
      <b/>
      <sz val="9"/>
      <name val="EYInterstate Light"/>
    </font>
    <font>
      <b/>
      <u/>
      <sz val="9"/>
      <color theme="1"/>
      <name val="Arial"/>
      <family val="2"/>
    </font>
    <font>
      <b/>
      <sz val="8"/>
      <color theme="1"/>
      <name val="EYInterstate"/>
    </font>
    <font>
      <sz val="8"/>
      <color theme="1"/>
      <name val="EYInterstate"/>
    </font>
    <font>
      <b/>
      <sz val="8"/>
      <color rgb="FF515151"/>
      <name val="EYInterstate"/>
    </font>
    <font>
      <b/>
      <i/>
      <sz val="8"/>
      <name val="EYInterstate Light"/>
    </font>
    <font>
      <sz val="11"/>
      <name val="Calibri"/>
      <family val="2"/>
      <scheme val="minor"/>
    </font>
  </fonts>
  <fills count="13">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2"/>
        <bgColor indexed="64"/>
      </patternFill>
    </fill>
    <fill>
      <patternFill patternType="solid">
        <fgColor rgb="FFFFFFCC"/>
      </patternFill>
    </fill>
    <fill>
      <patternFill patternType="solid">
        <fgColor theme="1" tint="0.249977111117893"/>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0" tint="-0.34998626667073579"/>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0" fontId="1" fillId="0" borderId="0"/>
    <xf numFmtId="0" fontId="4" fillId="0" borderId="0"/>
    <xf numFmtId="0" fontId="12" fillId="0" borderId="0" applyNumberFormat="0" applyFill="0" applyBorder="0" applyAlignment="0" applyProtection="0"/>
    <xf numFmtId="0" fontId="14" fillId="0" borderId="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25" fillId="0" borderId="0" applyNumberFormat="0" applyFill="0" applyBorder="0" applyAlignment="0" applyProtection="0"/>
    <xf numFmtId="165" fontId="15" fillId="0" borderId="0">
      <alignment horizontal="left" wrapText="1"/>
    </xf>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4" fillId="0" borderId="0"/>
    <xf numFmtId="165" fontId="15" fillId="0" borderId="0">
      <alignment horizontal="left" wrapText="1"/>
    </xf>
    <xf numFmtId="0" fontId="15" fillId="0" borderId="0" applyBorder="0"/>
    <xf numFmtId="0" fontId="4" fillId="0" borderId="0"/>
    <xf numFmtId="0" fontId="14" fillId="0" borderId="0"/>
    <xf numFmtId="0" fontId="4" fillId="0" borderId="0"/>
    <xf numFmtId="0" fontId="14" fillId="0" borderId="0"/>
    <xf numFmtId="0" fontId="4" fillId="5" borderId="7" applyNumberFormat="0" applyFont="0" applyAlignment="0" applyProtection="0"/>
    <xf numFmtId="0" fontId="4" fillId="5" borderId="7" applyNumberFormat="0" applyFont="0" applyAlignment="0" applyProtection="0"/>
    <xf numFmtId="9" fontId="1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5" fontId="15" fillId="0" borderId="0">
      <alignment horizontal="left" wrapText="1"/>
    </xf>
    <xf numFmtId="166" fontId="26" fillId="0" borderId="0" applyFont="0" applyFill="0" applyBorder="0" applyAlignment="0" applyProtection="0"/>
    <xf numFmtId="167" fontId="26" fillId="0" borderId="0" applyFont="0" applyFill="0" applyBorder="0" applyAlignment="0" applyProtection="0">
      <alignment vertical="top"/>
    </xf>
    <xf numFmtId="168" fontId="26" fillId="0" borderId="0" applyFont="0" applyFill="0" applyBorder="0" applyAlignment="0" applyProtection="0"/>
    <xf numFmtId="0" fontId="27" fillId="0" borderId="0" applyNumberFormat="0" applyFont="0" applyFill="0" applyBorder="0">
      <alignment horizontal="left" vertical="top" wrapText="1"/>
    </xf>
    <xf numFmtId="0" fontId="1" fillId="0" borderId="0">
      <alignment vertical="center"/>
    </xf>
    <xf numFmtId="0" fontId="28" fillId="0" borderId="0" applyFill="0" applyBorder="0" applyProtection="0"/>
    <xf numFmtId="43" fontId="4" fillId="0" borderId="0" applyFont="0" applyFill="0" applyBorder="0" applyAlignment="0" applyProtection="0"/>
    <xf numFmtId="9" fontId="4" fillId="0" borderId="0" applyFont="0" applyFill="0" applyBorder="0" applyAlignment="0" applyProtection="0"/>
  </cellStyleXfs>
  <cellXfs count="196">
    <xf numFmtId="0" fontId="0" fillId="0" borderId="0" xfId="0"/>
    <xf numFmtId="0" fontId="2" fillId="0" borderId="0" xfId="0" applyFont="1"/>
    <xf numFmtId="0" fontId="7" fillId="0" borderId="1" xfId="0" applyFont="1" applyBorder="1" applyAlignment="1">
      <alignment vertical="center"/>
    </xf>
    <xf numFmtId="0" fontId="6" fillId="0" borderId="1" xfId="0" applyFont="1" applyBorder="1" applyAlignment="1">
      <alignment vertical="center" wrapText="1"/>
    </xf>
    <xf numFmtId="0" fontId="7" fillId="0" borderId="0" xfId="0" applyFont="1" applyBorder="1" applyAlignment="1">
      <alignment vertical="center"/>
    </xf>
    <xf numFmtId="0" fontId="7" fillId="0" borderId="6" xfId="0" applyFont="1" applyBorder="1" applyAlignment="1">
      <alignment vertical="center"/>
    </xf>
    <xf numFmtId="0" fontId="6" fillId="0" borderId="6" xfId="0" applyFont="1" applyBorder="1" applyAlignment="1">
      <alignmen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xf>
    <xf numFmtId="0" fontId="4" fillId="4" borderId="8" xfId="2" applyFill="1" applyBorder="1"/>
    <xf numFmtId="0" fontId="4" fillId="4" borderId="0" xfId="2" applyFill="1" applyBorder="1"/>
    <xf numFmtId="0" fontId="4" fillId="4" borderId="9" xfId="2" applyFill="1" applyBorder="1"/>
    <xf numFmtId="0" fontId="4" fillId="4" borderId="0" xfId="2" applyFill="1"/>
    <xf numFmtId="0" fontId="4" fillId="0" borderId="0" xfId="2" applyBorder="1"/>
    <xf numFmtId="0" fontId="4" fillId="4" borderId="10" xfId="2" applyFill="1" applyBorder="1"/>
    <xf numFmtId="0" fontId="4" fillId="4" borderId="11" xfId="2" applyFill="1" applyBorder="1"/>
    <xf numFmtId="0" fontId="4" fillId="4" borderId="12" xfId="2" applyFill="1" applyBorder="1"/>
    <xf numFmtId="0" fontId="9" fillId="4" borderId="0" xfId="2" applyFont="1" applyFill="1" applyAlignment="1">
      <alignment vertical="top" wrapText="1"/>
    </xf>
    <xf numFmtId="0" fontId="9" fillId="0" borderId="3" xfId="2" applyFont="1" applyBorder="1" applyAlignment="1">
      <alignment vertical="top" wrapText="1"/>
    </xf>
    <xf numFmtId="0" fontId="9" fillId="0" borderId="4" xfId="2" applyFont="1" applyBorder="1" applyAlignment="1">
      <alignment vertical="top" wrapText="1"/>
    </xf>
    <xf numFmtId="0" fontId="9" fillId="0" borderId="5" xfId="2" applyFont="1" applyBorder="1" applyAlignment="1">
      <alignment vertical="top" wrapText="1"/>
    </xf>
    <xf numFmtId="0" fontId="9" fillId="0" borderId="8" xfId="2" applyFont="1" applyBorder="1" applyAlignment="1">
      <alignment vertical="top" wrapText="1"/>
    </xf>
    <xf numFmtId="0" fontId="9" fillId="0" borderId="0" xfId="2" applyFont="1" applyBorder="1" applyAlignment="1">
      <alignment vertical="top" wrapText="1"/>
    </xf>
    <xf numFmtId="0" fontId="9" fillId="0" borderId="9" xfId="2" applyFont="1" applyBorder="1" applyAlignment="1">
      <alignment vertical="top" wrapText="1"/>
    </xf>
    <xf numFmtId="0" fontId="13" fillId="0" borderId="2" xfId="3" quotePrefix="1" applyFont="1" applyBorder="1" applyAlignment="1">
      <alignment horizontal="left" vertical="center"/>
    </xf>
    <xf numFmtId="0" fontId="13" fillId="0" borderId="13" xfId="3" applyFont="1" applyBorder="1" applyAlignment="1">
      <alignment horizontal="left" vertical="center"/>
    </xf>
    <xf numFmtId="0" fontId="10" fillId="0" borderId="0" xfId="2" applyFont="1" applyBorder="1" applyAlignment="1">
      <alignment vertical="top" wrapText="1"/>
    </xf>
    <xf numFmtId="0" fontId="9" fillId="0" borderId="10" xfId="2" applyFont="1" applyBorder="1" applyAlignment="1">
      <alignment vertical="top" wrapText="1"/>
    </xf>
    <xf numFmtId="0" fontId="9" fillId="0" borderId="11" xfId="2" applyFont="1" applyBorder="1" applyAlignment="1">
      <alignment vertical="top" wrapText="1"/>
    </xf>
    <xf numFmtId="0" fontId="9" fillId="0" borderId="12" xfId="2" applyFont="1" applyBorder="1" applyAlignment="1">
      <alignment vertical="top" wrapText="1"/>
    </xf>
    <xf numFmtId="0" fontId="9" fillId="4" borderId="0" xfId="2" applyFont="1" applyFill="1" applyBorder="1" applyAlignment="1">
      <alignment vertical="top" wrapText="1"/>
    </xf>
    <xf numFmtId="0" fontId="14" fillId="0" borderId="0" xfId="4"/>
    <xf numFmtId="0" fontId="16" fillId="7" borderId="1" xfId="4" applyFont="1" applyFill="1" applyBorder="1" applyAlignment="1">
      <alignment horizontal="center" vertical="center" wrapText="1"/>
    </xf>
    <xf numFmtId="0" fontId="14" fillId="0" borderId="0" xfId="4" applyFont="1"/>
    <xf numFmtId="0" fontId="14" fillId="0" borderId="1" xfId="4" applyFont="1" applyBorder="1" applyAlignment="1">
      <alignment horizontal="left" vertical="center"/>
    </xf>
    <xf numFmtId="0" fontId="14" fillId="0" borderId="1" xfId="4" applyFont="1" applyBorder="1" applyAlignment="1">
      <alignment horizontal="left" vertical="center" wrapText="1"/>
    </xf>
    <xf numFmtId="0" fontId="15" fillId="0" borderId="1" xfId="4" applyFont="1" applyBorder="1" applyAlignment="1">
      <alignment horizontal="left" vertical="center" wrapText="1"/>
    </xf>
    <xf numFmtId="0" fontId="14" fillId="0" borderId="1" xfId="4" applyFont="1" applyFill="1" applyBorder="1" applyAlignment="1">
      <alignment horizontal="left" vertical="center" wrapText="1"/>
    </xf>
    <xf numFmtId="0" fontId="14" fillId="0" borderId="0" xfId="4" applyBorder="1" applyAlignment="1">
      <alignment horizontal="left" vertical="center" wrapText="1"/>
    </xf>
    <xf numFmtId="0" fontId="14" fillId="0" borderId="0" xfId="4" applyFill="1" applyBorder="1" applyAlignment="1">
      <alignment horizontal="left" vertical="center" wrapText="1"/>
    </xf>
    <xf numFmtId="0" fontId="18" fillId="0" borderId="1" xfId="4" applyFont="1" applyBorder="1" applyAlignment="1">
      <alignment horizontal="left" vertical="center"/>
    </xf>
    <xf numFmtId="0" fontId="18" fillId="0" borderId="1" xfId="4" applyFont="1" applyBorder="1" applyAlignment="1">
      <alignment vertical="center" wrapText="1"/>
    </xf>
    <xf numFmtId="0" fontId="19" fillId="0" borderId="0" xfId="4" applyFont="1" applyBorder="1" applyAlignment="1">
      <alignment vertical="center" wrapText="1"/>
    </xf>
    <xf numFmtId="0" fontId="19" fillId="0" borderId="0" xfId="4" applyFont="1" applyBorder="1" applyAlignment="1">
      <alignment vertical="top" wrapText="1"/>
    </xf>
    <xf numFmtId="0" fontId="19" fillId="0" borderId="0" xfId="4" applyFont="1" applyBorder="1" applyAlignment="1">
      <alignment horizontal="center" vertical="center" wrapText="1"/>
    </xf>
    <xf numFmtId="0" fontId="20" fillId="0" borderId="0" xfId="4" applyFont="1" applyBorder="1" applyAlignment="1">
      <alignment vertical="center"/>
    </xf>
    <xf numFmtId="0" fontId="19" fillId="0" borderId="0" xfId="4" applyFont="1" applyFill="1" applyBorder="1" applyAlignment="1">
      <alignment horizontal="left" vertical="center" wrapText="1"/>
    </xf>
    <xf numFmtId="0" fontId="21" fillId="0" borderId="0" xfId="4" applyFont="1" applyFill="1" applyBorder="1" applyAlignment="1">
      <alignment vertical="center" wrapText="1"/>
    </xf>
    <xf numFmtId="0" fontId="15" fillId="0" borderId="1" xfId="4" applyFont="1" applyBorder="1" applyAlignment="1">
      <alignment vertical="center"/>
    </xf>
    <xf numFmtId="0" fontId="15" fillId="0" borderId="1" xfId="4" applyFont="1" applyBorder="1" applyAlignment="1">
      <alignment vertical="center" wrapText="1"/>
    </xf>
    <xf numFmtId="0" fontId="19" fillId="0" borderId="0" xfId="4" applyFont="1" applyBorder="1" applyAlignment="1">
      <alignment vertical="center"/>
    </xf>
    <xf numFmtId="0" fontId="19" fillId="0" borderId="0" xfId="4" applyFont="1" applyFill="1" applyBorder="1" applyAlignment="1">
      <alignment vertical="center" wrapText="1"/>
    </xf>
    <xf numFmtId="0" fontId="15" fillId="0" borderId="0" xfId="4" applyFont="1"/>
    <xf numFmtId="0" fontId="15" fillId="0" borderId="0" xfId="4" applyFont="1" applyAlignment="1">
      <alignment wrapText="1"/>
    </xf>
    <xf numFmtId="0" fontId="23" fillId="0" borderId="1" xfId="4" applyFont="1" applyBorder="1" applyAlignment="1">
      <alignment wrapText="1"/>
    </xf>
    <xf numFmtId="0" fontId="14" fillId="0" borderId="0" xfId="4" applyAlignment="1">
      <alignment wrapText="1"/>
    </xf>
    <xf numFmtId="0" fontId="2" fillId="9" borderId="0" xfId="2" applyFont="1" applyFill="1"/>
    <xf numFmtId="0" fontId="24" fillId="9" borderId="0" xfId="2" applyFont="1" applyFill="1" applyAlignment="1">
      <alignment horizontal="left"/>
    </xf>
    <xf numFmtId="0" fontId="2" fillId="6" borderId="0" xfId="2" applyFont="1" applyFill="1"/>
    <xf numFmtId="0" fontId="2" fillId="6" borderId="0" xfId="2" applyFont="1" applyFill="1" applyAlignment="1">
      <alignment vertical="top" wrapText="1"/>
    </xf>
    <xf numFmtId="0" fontId="2" fillId="9" borderId="0" xfId="2" applyFont="1" applyFill="1" applyAlignment="1">
      <alignment vertical="top" wrapText="1"/>
    </xf>
    <xf numFmtId="0" fontId="2" fillId="9" borderId="0" xfId="2" applyFont="1" applyFill="1" applyAlignment="1">
      <alignment vertical="top"/>
    </xf>
    <xf numFmtId="0" fontId="29" fillId="0" borderId="0" xfId="0" applyFont="1" applyFill="1" applyBorder="1"/>
    <xf numFmtId="0" fontId="30" fillId="7" borderId="1" xfId="0" applyFont="1" applyFill="1" applyBorder="1" applyAlignment="1">
      <alignment horizontal="center"/>
    </xf>
    <xf numFmtId="164" fontId="30" fillId="7" borderId="1" xfId="0" quotePrefix="1" applyNumberFormat="1" applyFont="1" applyFill="1" applyBorder="1" applyAlignment="1">
      <alignment horizontal="center"/>
    </xf>
    <xf numFmtId="164" fontId="30" fillId="7" borderId="1" xfId="0" quotePrefix="1" applyNumberFormat="1" applyFont="1" applyFill="1" applyBorder="1" applyAlignment="1">
      <alignment horizontal="center" wrapText="1"/>
    </xf>
    <xf numFmtId="9" fontId="30" fillId="7" borderId="1" xfId="43" quotePrefix="1" applyFont="1" applyFill="1" applyBorder="1" applyAlignment="1">
      <alignment horizontal="center" wrapText="1"/>
    </xf>
    <xf numFmtId="164" fontId="30" fillId="7" borderId="1" xfId="0" applyNumberFormat="1" applyFont="1" applyFill="1" applyBorder="1" applyAlignment="1">
      <alignment horizontal="center" wrapText="1"/>
    </xf>
    <xf numFmtId="164" fontId="29" fillId="0" borderId="0" xfId="0" applyNumberFormat="1" applyFont="1" applyFill="1" applyBorder="1" applyAlignment="1">
      <alignment wrapText="1"/>
    </xf>
    <xf numFmtId="164" fontId="29" fillId="3" borderId="16" xfId="0" applyNumberFormat="1" applyFont="1" applyFill="1" applyBorder="1"/>
    <xf numFmtId="164" fontId="29" fillId="0" borderId="0" xfId="0" applyNumberFormat="1" applyFont="1" applyFill="1" applyBorder="1" applyAlignment="1">
      <alignment horizontal="center"/>
    </xf>
    <xf numFmtId="164" fontId="29" fillId="0" borderId="0" xfId="42" applyNumberFormat="1" applyFont="1" applyFill="1" applyBorder="1"/>
    <xf numFmtId="169" fontId="29" fillId="0" borderId="0" xfId="43" applyNumberFormat="1" applyFont="1" applyBorder="1"/>
    <xf numFmtId="0" fontId="29" fillId="0" borderId="0" xfId="0" applyFont="1" applyBorder="1"/>
    <xf numFmtId="0" fontId="29" fillId="0" borderId="0" xfId="0" applyFont="1" applyFill="1" applyBorder="1" applyAlignment="1">
      <alignment vertical="center"/>
    </xf>
    <xf numFmtId="0" fontId="31" fillId="10" borderId="1" xfId="0" applyFont="1" applyFill="1" applyBorder="1" applyAlignment="1">
      <alignment vertical="center"/>
    </xf>
    <xf numFmtId="164" fontId="30" fillId="0" borderId="1" xfId="0" applyNumberFormat="1" applyFont="1" applyFill="1" applyBorder="1" applyAlignment="1">
      <alignment vertical="center" wrapText="1"/>
    </xf>
    <xf numFmtId="10" fontId="30" fillId="3" borderId="1" xfId="43" applyNumberFormat="1" applyFont="1" applyFill="1" applyBorder="1" applyAlignment="1">
      <alignment horizontal="center" vertical="center" wrapText="1"/>
    </xf>
    <xf numFmtId="164" fontId="31" fillId="0" borderId="1" xfId="42" applyNumberFormat="1" applyFont="1" applyFill="1" applyBorder="1" applyAlignment="1">
      <alignment horizontal="center" vertical="center" wrapText="1"/>
    </xf>
    <xf numFmtId="164" fontId="30" fillId="0" borderId="0" xfId="0" applyNumberFormat="1" applyFont="1" applyFill="1" applyBorder="1" applyAlignment="1">
      <alignment horizontal="center" vertical="center"/>
    </xf>
    <xf numFmtId="0" fontId="29" fillId="0" borderId="0" xfId="0" applyFont="1" applyBorder="1" applyAlignment="1">
      <alignment vertical="center"/>
    </xf>
    <xf numFmtId="164" fontId="29" fillId="0" borderId="0" xfId="0" applyNumberFormat="1" applyFont="1" applyFill="1" applyBorder="1" applyAlignment="1">
      <alignment vertical="center"/>
    </xf>
    <xf numFmtId="164" fontId="29" fillId="0" borderId="0" xfId="42" applyNumberFormat="1" applyFont="1" applyFill="1" applyBorder="1" applyAlignment="1">
      <alignment vertical="center"/>
    </xf>
    <xf numFmtId="43" fontId="29" fillId="0" borderId="0" xfId="42" applyFont="1" applyBorder="1" applyAlignment="1">
      <alignment vertical="center"/>
    </xf>
    <xf numFmtId="0" fontId="32" fillId="2" borderId="1" xfId="0" applyFont="1" applyFill="1" applyBorder="1" applyAlignment="1">
      <alignment horizontal="center" vertical="center" wrapText="1"/>
    </xf>
    <xf numFmtId="164" fontId="32" fillId="2" borderId="1" xfId="0" quotePrefix="1" applyNumberFormat="1" applyFont="1" applyFill="1" applyBorder="1" applyAlignment="1">
      <alignment horizontal="center" vertical="center" wrapText="1"/>
    </xf>
    <xf numFmtId="164" fontId="32" fillId="11" borderId="1" xfId="0" quotePrefix="1" applyNumberFormat="1" applyFont="1" applyFill="1" applyBorder="1" applyAlignment="1">
      <alignment horizontal="center" vertical="center" wrapText="1"/>
    </xf>
    <xf numFmtId="164" fontId="32" fillId="3" borderId="1" xfId="0" quotePrefix="1" applyNumberFormat="1" applyFont="1" applyFill="1" applyBorder="1" applyAlignment="1">
      <alignment horizontal="center" vertical="center" wrapText="1"/>
    </xf>
    <xf numFmtId="43" fontId="29" fillId="0" borderId="0" xfId="42" applyFont="1" applyBorder="1" applyAlignment="1">
      <alignment horizontal="right" wrapText="1"/>
    </xf>
    <xf numFmtId="0" fontId="29" fillId="0" borderId="0" xfId="0" applyFont="1" applyBorder="1" applyAlignment="1">
      <alignment horizontal="right" wrapText="1"/>
    </xf>
    <xf numFmtId="164" fontId="29" fillId="0" borderId="1" xfId="42" applyNumberFormat="1" applyFont="1" applyFill="1" applyBorder="1" applyAlignment="1">
      <alignment horizontal="center" vertical="center" wrapText="1"/>
    </xf>
    <xf numFmtId="43" fontId="29" fillId="0" borderId="0" xfId="42" applyFont="1" applyFill="1" applyBorder="1" applyAlignment="1">
      <alignment horizontal="center"/>
    </xf>
    <xf numFmtId="164" fontId="29" fillId="0" borderId="0" xfId="0" applyNumberFormat="1" applyFont="1" applyFill="1" applyBorder="1"/>
    <xf numFmtId="0" fontId="2" fillId="0" borderId="1" xfId="0" applyFont="1" applyFill="1" applyBorder="1" applyAlignment="1">
      <alignment horizontal="justify" vertical="center" wrapText="1"/>
    </xf>
    <xf numFmtId="0" fontId="2" fillId="0" borderId="1" xfId="0" applyFont="1" applyBorder="1" applyAlignment="1">
      <alignment horizontal="justify" vertical="center" wrapText="1"/>
    </xf>
    <xf numFmtId="0" fontId="3" fillId="0" borderId="1" xfId="0" applyFont="1" applyFill="1" applyBorder="1" applyAlignment="1">
      <alignment horizontal="justify" vertical="center" wrapText="1"/>
    </xf>
    <xf numFmtId="0" fontId="24" fillId="12" borderId="1" xfId="0" applyFont="1" applyFill="1" applyBorder="1" applyAlignment="1">
      <alignment horizontal="center"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1" xfId="0" applyNumberFormat="1" applyFont="1" applyBorder="1" applyAlignment="1">
      <alignment horizontal="left" vertical="top"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36" fillId="0" borderId="1" xfId="0" applyFont="1" applyBorder="1" applyAlignment="1">
      <alignment vertical="center"/>
    </xf>
    <xf numFmtId="0" fontId="35" fillId="0" borderId="1" xfId="0" applyFont="1" applyBorder="1" applyAlignment="1">
      <alignment vertical="center" wrapText="1"/>
    </xf>
    <xf numFmtId="0" fontId="36" fillId="0" borderId="0" xfId="0" applyFont="1" applyBorder="1" applyAlignment="1">
      <alignment vertical="center"/>
    </xf>
    <xf numFmtId="0" fontId="36" fillId="0" borderId="6" xfId="0" applyFont="1" applyBorder="1" applyAlignment="1">
      <alignment vertical="center"/>
    </xf>
    <xf numFmtId="0" fontId="35" fillId="0" borderId="6" xfId="0" applyFont="1" applyBorder="1" applyAlignment="1">
      <alignment vertical="center"/>
    </xf>
    <xf numFmtId="0" fontId="29" fillId="0" borderId="1" xfId="0" applyFont="1" applyBorder="1" applyAlignment="1">
      <alignment vertical="center"/>
    </xf>
    <xf numFmtId="0" fontId="38" fillId="0" borderId="1" xfId="0" applyFont="1" applyFill="1" applyBorder="1" applyAlignment="1">
      <alignment vertical="center" wrapText="1"/>
    </xf>
    <xf numFmtId="43" fontId="29" fillId="0" borderId="1" xfId="42" applyFont="1" applyBorder="1" applyAlignment="1">
      <alignment vertical="center"/>
    </xf>
    <xf numFmtId="9" fontId="29" fillId="3" borderId="1" xfId="43" applyFont="1" applyFill="1" applyBorder="1" applyAlignment="1">
      <alignment horizontal="center" vertical="center" wrapText="1"/>
    </xf>
    <xf numFmtId="0" fontId="29" fillId="0" borderId="1" xfId="0" applyFont="1" applyFill="1" applyBorder="1" applyAlignment="1">
      <alignment vertical="center"/>
    </xf>
    <xf numFmtId="0" fontId="38" fillId="0" borderId="1" xfId="0" applyNumberFormat="1" applyFont="1" applyFill="1" applyBorder="1" applyAlignment="1">
      <alignment horizontal="center" vertical="center" wrapText="1"/>
    </xf>
    <xf numFmtId="0" fontId="38" fillId="0" borderId="1" xfId="0" applyNumberFormat="1" applyFont="1" applyFill="1" applyBorder="1" applyAlignment="1">
      <alignment horizontal="center" vertical="center" wrapText="1" shrinkToFit="1"/>
    </xf>
    <xf numFmtId="170" fontId="29" fillId="0" borderId="1" xfId="42" applyNumberFormat="1" applyFont="1" applyBorder="1" applyAlignment="1">
      <alignment vertical="center"/>
    </xf>
    <xf numFmtId="0" fontId="2"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2" fillId="0" borderId="0" xfId="0" applyFont="1" applyFill="1"/>
    <xf numFmtId="0" fontId="2" fillId="0" borderId="0" xfId="0" applyFont="1" applyAlignment="1">
      <alignment horizontal="center" vertical="center"/>
    </xf>
    <xf numFmtId="0" fontId="2"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2" fillId="0" borderId="0" xfId="0" applyFont="1" applyAlignment="1">
      <alignment vertical="center"/>
    </xf>
    <xf numFmtId="0" fontId="2" fillId="8"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8" borderId="1" xfId="0" applyFont="1" applyFill="1" applyBorder="1" applyAlignment="1">
      <alignment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horizontal="justify" vertical="center" wrapText="1"/>
    </xf>
    <xf numFmtId="0" fontId="3" fillId="0" borderId="1" xfId="0" applyNumberFormat="1" applyFont="1" applyBorder="1" applyAlignment="1">
      <alignment vertical="center"/>
    </xf>
    <xf numFmtId="0" fontId="4" fillId="4" borderId="3" xfId="2" applyFill="1" applyBorder="1"/>
    <xf numFmtId="0" fontId="4" fillId="4" borderId="4" xfId="2" applyFill="1" applyBorder="1"/>
    <xf numFmtId="0" fontId="4" fillId="4" borderId="5" xfId="2" applyFill="1" applyBorder="1"/>
    <xf numFmtId="0" fontId="3"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6" borderId="3" xfId="2" applyFill="1" applyBorder="1" applyAlignment="1">
      <alignment horizontal="center"/>
    </xf>
    <xf numFmtId="0" fontId="4" fillId="6" borderId="4" xfId="2" applyFill="1" applyBorder="1" applyAlignment="1">
      <alignment horizontal="center"/>
    </xf>
    <xf numFmtId="0" fontId="4" fillId="6" borderId="5" xfId="2" applyFill="1" applyBorder="1" applyAlignment="1">
      <alignment horizontal="center"/>
    </xf>
    <xf numFmtId="0" fontId="4" fillId="6" borderId="8" xfId="2" applyFill="1" applyBorder="1" applyAlignment="1">
      <alignment horizontal="center"/>
    </xf>
    <xf numFmtId="0" fontId="4" fillId="6" borderId="10" xfId="2" applyFill="1" applyBorder="1" applyAlignment="1">
      <alignment horizontal="center"/>
    </xf>
    <xf numFmtId="0" fontId="4" fillId="6" borderId="9" xfId="2" applyFill="1" applyBorder="1" applyAlignment="1">
      <alignment horizontal="center"/>
    </xf>
    <xf numFmtId="0" fontId="4" fillId="6" borderId="12" xfId="2" applyFill="1" applyBorder="1" applyAlignment="1">
      <alignment horizontal="center"/>
    </xf>
    <xf numFmtId="0" fontId="8" fillId="0" borderId="0" xfId="2" applyFont="1" applyFill="1" applyBorder="1" applyAlignment="1">
      <alignment horizontal="center" wrapText="1"/>
    </xf>
    <xf numFmtId="0" fontId="8" fillId="0" borderId="0" xfId="2" applyFont="1" applyFill="1" applyBorder="1" applyAlignment="1">
      <alignment horizontal="center"/>
    </xf>
    <xf numFmtId="0" fontId="4" fillId="6" borderId="11" xfId="2" applyFill="1" applyBorder="1" applyAlignment="1">
      <alignment horizontal="center"/>
    </xf>
    <xf numFmtId="0" fontId="9" fillId="0" borderId="2" xfId="2" applyFont="1" applyBorder="1" applyAlignment="1">
      <alignment horizontal="center" vertical="center" wrapText="1"/>
    </xf>
    <xf numFmtId="0" fontId="9" fillId="0" borderId="13" xfId="2" applyFont="1" applyBorder="1" applyAlignment="1">
      <alignment horizontal="center" vertical="center" wrapText="1"/>
    </xf>
    <xf numFmtId="0" fontId="9" fillId="0" borderId="3" xfId="2" applyFont="1" applyBorder="1" applyAlignment="1">
      <alignment horizontal="left" vertical="center" wrapText="1"/>
    </xf>
    <xf numFmtId="0" fontId="9" fillId="0" borderId="4" xfId="2" applyFont="1" applyBorder="1" applyAlignment="1">
      <alignment horizontal="left" vertical="center" wrapText="1"/>
    </xf>
    <xf numFmtId="0" fontId="9" fillId="0" borderId="5" xfId="2" applyFont="1" applyBorder="1" applyAlignment="1">
      <alignment horizontal="left" vertical="center" wrapText="1"/>
    </xf>
    <xf numFmtId="0" fontId="9" fillId="0" borderId="10" xfId="2" applyFont="1" applyBorder="1" applyAlignment="1">
      <alignment horizontal="left" vertical="center" wrapText="1"/>
    </xf>
    <xf numFmtId="0" fontId="9" fillId="0" borderId="11" xfId="2" applyFont="1" applyBorder="1" applyAlignment="1">
      <alignment horizontal="left" vertical="center" wrapText="1"/>
    </xf>
    <xf numFmtId="0" fontId="9" fillId="0" borderId="12" xfId="2" applyFont="1" applyBorder="1" applyAlignment="1">
      <alignment horizontal="left" vertical="center" wrapText="1"/>
    </xf>
    <xf numFmtId="0" fontId="12" fillId="0" borderId="2" xfId="3" applyBorder="1" applyAlignment="1">
      <alignment horizontal="left" vertical="center"/>
    </xf>
    <xf numFmtId="0" fontId="12" fillId="0" borderId="13" xfId="3" applyBorder="1" applyAlignment="1">
      <alignment horizontal="left" vertical="center"/>
    </xf>
    <xf numFmtId="0" fontId="13" fillId="0" borderId="2" xfId="3" quotePrefix="1" applyFont="1" applyBorder="1" applyAlignment="1">
      <alignment horizontal="left" vertical="center" wrapText="1"/>
    </xf>
    <xf numFmtId="0" fontId="13" fillId="0" borderId="13" xfId="3" applyFont="1" applyBorder="1" applyAlignment="1">
      <alignment horizontal="left" vertical="center" wrapText="1"/>
    </xf>
    <xf numFmtId="0" fontId="10" fillId="2" borderId="3" xfId="2" applyFont="1" applyFill="1" applyBorder="1" applyAlignment="1">
      <alignment horizontal="center" vertical="top" wrapText="1"/>
    </xf>
    <xf numFmtId="0" fontId="10" fillId="2" borderId="4" xfId="2" applyFont="1" applyFill="1" applyBorder="1" applyAlignment="1">
      <alignment horizontal="center" vertical="top" wrapText="1"/>
    </xf>
    <xf numFmtId="0" fontId="10" fillId="2" borderId="5" xfId="2" applyFont="1" applyFill="1" applyBorder="1" applyAlignment="1">
      <alignment horizontal="center" vertical="top" wrapText="1"/>
    </xf>
    <xf numFmtId="0" fontId="10" fillId="2" borderId="10" xfId="2" applyFont="1" applyFill="1" applyBorder="1" applyAlignment="1">
      <alignment horizontal="center" vertical="top" wrapText="1"/>
    </xf>
    <xf numFmtId="0" fontId="10" fillId="2" borderId="11" xfId="2" applyFont="1" applyFill="1" applyBorder="1" applyAlignment="1">
      <alignment horizontal="center" vertical="top" wrapText="1"/>
    </xf>
    <xf numFmtId="0" fontId="10" fillId="2" borderId="12" xfId="2" applyFont="1" applyFill="1" applyBorder="1" applyAlignment="1">
      <alignment horizontal="center" vertical="top" wrapText="1"/>
    </xf>
    <xf numFmtId="0" fontId="11" fillId="6" borderId="2" xfId="2" applyFont="1" applyFill="1" applyBorder="1" applyAlignment="1">
      <alignment horizontal="center" vertical="top" wrapText="1"/>
    </xf>
    <xf numFmtId="0" fontId="11" fillId="6" borderId="13" xfId="2" applyFont="1" applyFill="1" applyBorder="1" applyAlignment="1">
      <alignment horizontal="center" vertical="top" wrapText="1"/>
    </xf>
    <xf numFmtId="0" fontId="11" fillId="6" borderId="3" xfId="2" applyFont="1" applyFill="1" applyBorder="1" applyAlignment="1">
      <alignment horizontal="center" vertical="top" wrapText="1"/>
    </xf>
    <xf numFmtId="0" fontId="11" fillId="6" borderId="4" xfId="2" applyFont="1" applyFill="1" applyBorder="1" applyAlignment="1">
      <alignment horizontal="center" vertical="top" wrapText="1"/>
    </xf>
    <xf numFmtId="0" fontId="11" fillId="6" borderId="5" xfId="2" applyFont="1" applyFill="1" applyBorder="1" applyAlignment="1">
      <alignment horizontal="center" vertical="top" wrapText="1"/>
    </xf>
    <xf numFmtId="0" fontId="11" fillId="6" borderId="10" xfId="2" applyFont="1" applyFill="1" applyBorder="1" applyAlignment="1">
      <alignment horizontal="center" vertical="top" wrapText="1"/>
    </xf>
    <xf numFmtId="0" fontId="11" fillId="6" borderId="11" xfId="2" applyFont="1" applyFill="1" applyBorder="1" applyAlignment="1">
      <alignment horizontal="center" vertical="top" wrapText="1"/>
    </xf>
    <xf numFmtId="0" fontId="11" fillId="6" borderId="12" xfId="2" applyFont="1" applyFill="1" applyBorder="1" applyAlignment="1">
      <alignment horizontal="center" vertical="top" wrapText="1"/>
    </xf>
    <xf numFmtId="0" fontId="13" fillId="0" borderId="2" xfId="3" quotePrefix="1" applyFont="1" applyBorder="1" applyAlignment="1">
      <alignment horizontal="left" vertical="center"/>
    </xf>
    <xf numFmtId="0" fontId="13" fillId="0" borderId="13" xfId="3" applyFont="1" applyBorder="1" applyAlignment="1">
      <alignment horizontal="left" vertical="center"/>
    </xf>
    <xf numFmtId="164" fontId="30" fillId="0" borderId="6" xfId="0" applyNumberFormat="1" applyFont="1" applyFill="1" applyBorder="1" applyAlignment="1">
      <alignment horizontal="center" vertical="center"/>
    </xf>
    <xf numFmtId="164" fontId="30" fillId="0" borderId="14"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5" fillId="4" borderId="0" xfId="0" applyFont="1" applyFill="1" applyAlignment="1">
      <alignment horizontal="left"/>
    </xf>
    <xf numFmtId="0" fontId="24" fillId="12" borderId="1" xfId="0" applyFont="1" applyFill="1" applyBorder="1" applyAlignment="1">
      <alignment horizontal="center" vertical="top" wrapText="1"/>
    </xf>
    <xf numFmtId="0" fontId="34" fillId="4" borderId="0" xfId="0" applyFont="1" applyFill="1" applyAlignment="1">
      <alignment horizontal="left"/>
    </xf>
    <xf numFmtId="0" fontId="22" fillId="0" borderId="6" xfId="4" applyFont="1" applyBorder="1" applyAlignment="1">
      <alignment horizontal="left" vertical="center"/>
    </xf>
    <xf numFmtId="0" fontId="22" fillId="0" borderId="15" xfId="4" applyFont="1" applyBorder="1" applyAlignment="1">
      <alignment horizontal="left" vertical="center"/>
    </xf>
    <xf numFmtId="0" fontId="22" fillId="0" borderId="14" xfId="4" applyFont="1" applyBorder="1" applyAlignment="1">
      <alignment horizontal="left" vertical="center"/>
    </xf>
    <xf numFmtId="0" fontId="24" fillId="8" borderId="0" xfId="2" applyFont="1" applyFill="1" applyAlignment="1">
      <alignment horizontal="center"/>
    </xf>
    <xf numFmtId="0" fontId="2" fillId="8" borderId="3" xfId="2" applyFont="1" applyFill="1" applyBorder="1" applyAlignment="1">
      <alignment horizontal="left" vertical="top" wrapText="1"/>
    </xf>
    <xf numFmtId="0" fontId="2" fillId="8" borderId="4" xfId="2" applyFont="1" applyFill="1" applyBorder="1" applyAlignment="1">
      <alignment horizontal="left" vertical="top" wrapText="1"/>
    </xf>
    <xf numFmtId="0" fontId="2" fillId="8" borderId="5" xfId="2" applyFont="1" applyFill="1" applyBorder="1" applyAlignment="1">
      <alignment horizontal="left" vertical="top" wrapText="1"/>
    </xf>
    <xf numFmtId="0" fontId="2" fillId="8" borderId="8" xfId="2" applyFont="1" applyFill="1" applyBorder="1" applyAlignment="1">
      <alignment horizontal="left" vertical="top" wrapText="1"/>
    </xf>
    <xf numFmtId="0" fontId="2" fillId="8" borderId="0" xfId="2" applyFont="1" applyFill="1" applyBorder="1" applyAlignment="1">
      <alignment horizontal="left" vertical="top" wrapText="1"/>
    </xf>
    <xf numFmtId="0" fontId="2" fillId="8" borderId="9" xfId="2" applyFont="1" applyFill="1" applyBorder="1" applyAlignment="1">
      <alignment horizontal="left" vertical="top" wrapText="1"/>
    </xf>
    <xf numFmtId="0" fontId="2" fillId="8" borderId="10" xfId="2" applyFont="1" applyFill="1" applyBorder="1" applyAlignment="1">
      <alignment horizontal="left" vertical="top" wrapText="1"/>
    </xf>
    <xf numFmtId="0" fontId="2" fillId="8" borderId="11" xfId="2" applyFont="1" applyFill="1" applyBorder="1" applyAlignment="1">
      <alignment horizontal="left" vertical="top" wrapText="1"/>
    </xf>
    <xf numFmtId="0" fontId="2" fillId="8" borderId="12" xfId="2" applyFont="1" applyFill="1" applyBorder="1" applyAlignment="1">
      <alignment horizontal="left" vertical="top" wrapText="1"/>
    </xf>
    <xf numFmtId="0" fontId="3" fillId="2" borderId="6" xfId="0" applyFont="1" applyFill="1" applyBorder="1" applyAlignment="1">
      <alignment vertical="center" wrapText="1"/>
    </xf>
    <xf numFmtId="0" fontId="2" fillId="0" borderId="0" xfId="0" applyFont="1" applyAlignment="1">
      <alignment horizontal="center" vertical="top"/>
    </xf>
    <xf numFmtId="0" fontId="2" fillId="0" borderId="0" xfId="0" applyFont="1" applyAlignment="1">
      <alignment horizontal="center"/>
    </xf>
  </cellXfs>
  <cellStyles count="44">
    <cellStyle name="Comma" xfId="42" builtinId="3"/>
    <cellStyle name="Comma 2" xfId="5"/>
    <cellStyle name="Comma 3" xfId="6"/>
    <cellStyle name="Comma 4" xfId="7"/>
    <cellStyle name="Hyperlink" xfId="3" builtinId="8"/>
    <cellStyle name="Hyperlink 2" xfId="8"/>
    <cellStyle name="Nor}al" xfId="1"/>
    <cellStyle name="Nor}al 2" xfId="9"/>
    <cellStyle name="Nor}al 2 2" xfId="10"/>
    <cellStyle name="Nor}al 3" xfId="11"/>
    <cellStyle name="Normal" xfId="0" builtinId="0"/>
    <cellStyle name="Normal 2" xfId="4"/>
    <cellStyle name="Normal 2 2" xfId="2"/>
    <cellStyle name="Normal 2 2 2" xfId="12"/>
    <cellStyle name="Normal 2 2 2 2" xfId="13"/>
    <cellStyle name="Normal 2 2 3" xfId="14"/>
    <cellStyle name="Normal 2 3" xfId="15"/>
    <cellStyle name="Normal 2 3 2" xfId="16"/>
    <cellStyle name="Normal 2 4" xfId="17"/>
    <cellStyle name="Normal 2 5" xfId="18"/>
    <cellStyle name="Normal 2 6" xfId="19"/>
    <cellStyle name="Normal 3" xfId="20"/>
    <cellStyle name="Normal 3 2" xfId="21"/>
    <cellStyle name="Normal 3 2 2" xfId="22"/>
    <cellStyle name="Normal 3 3" xfId="23"/>
    <cellStyle name="Normal 4" xfId="24"/>
    <cellStyle name="Normal 5" xfId="25"/>
    <cellStyle name="Normal 6" xfId="26"/>
    <cellStyle name="Normal 6 2 2" xfId="27"/>
    <cellStyle name="Normal 7" xfId="28"/>
    <cellStyle name="Normal 9" xfId="29"/>
    <cellStyle name="Note 2" xfId="30"/>
    <cellStyle name="Note 2 2" xfId="31"/>
    <cellStyle name="Percent" xfId="43" builtinId="5"/>
    <cellStyle name="Percent 2" xfId="32"/>
    <cellStyle name="Percent 3" xfId="33"/>
    <cellStyle name="Percent 4" xfId="34"/>
    <cellStyle name="Style 1" xfId="35"/>
    <cellStyle name="パーセント()" xfId="36"/>
    <cellStyle name="パーセント(0.00)" xfId="37"/>
    <cellStyle name="パーセント[0.00]" xfId="38"/>
    <cellStyle name="折り返し" xfId="39"/>
    <cellStyle name="標準_37 税務テスト調書_課題報告書" xfId="40"/>
    <cellStyle name="見出し１" xfId="41"/>
  </cellStyles>
  <dxfs count="4">
    <dxf>
      <fill>
        <patternFill>
          <bgColor rgb="FF92D050"/>
        </patternFill>
      </fill>
    </dxf>
    <dxf>
      <fill>
        <patternFill>
          <bgColor rgb="FFFFFF00"/>
        </patternFill>
      </fill>
    </dxf>
    <dxf>
      <fill>
        <patternFill>
          <bgColor rgb="FFFF0000"/>
        </patternFill>
      </fill>
    </dxf>
    <dxf>
      <font>
        <color rgb="FF9C6500"/>
      </font>
      <fill>
        <patternFill>
          <bgColor rgb="FFFFEB9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3</xdr:row>
      <xdr:rowOff>19050</xdr:rowOff>
    </xdr:from>
    <xdr:to>
      <xdr:col>9</xdr:col>
      <xdr:colOff>590550</xdr:colOff>
      <xdr:row>15</xdr:row>
      <xdr:rowOff>152400</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6300" y="409575"/>
          <a:ext cx="4229100" cy="2419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2"/>
  <sheetViews>
    <sheetView showGridLines="0" tabSelected="1" zoomScale="90" zoomScaleNormal="90" zoomScaleSheetLayoutView="53" workbookViewId="0">
      <selection activeCell="D7" sqref="D7"/>
    </sheetView>
  </sheetViews>
  <sheetFormatPr defaultRowHeight="15"/>
  <cols>
    <col min="1" max="1" width="4" style="14" customWidth="1"/>
    <col min="2" max="2" width="3.7109375" style="14" customWidth="1"/>
    <col min="3" max="11" width="9.140625" style="14"/>
    <col min="12" max="12" width="3.7109375" style="14" customWidth="1"/>
    <col min="13" max="16384" width="9.140625" style="14"/>
  </cols>
  <sheetData>
    <row r="1" spans="2:13" ht="15.75" thickBot="1"/>
    <row r="2" spans="2:13" ht="15.75" thickBot="1">
      <c r="B2" s="130"/>
      <c r="C2" s="131"/>
      <c r="D2" s="131"/>
      <c r="E2" s="131"/>
      <c r="F2" s="131"/>
      <c r="G2" s="131"/>
      <c r="H2" s="131"/>
      <c r="I2" s="131"/>
      <c r="J2" s="131"/>
      <c r="K2" s="131"/>
      <c r="L2" s="132"/>
      <c r="M2" s="12"/>
    </row>
    <row r="3" spans="2:13">
      <c r="B3" s="11"/>
      <c r="C3" s="136"/>
      <c r="D3" s="137"/>
      <c r="E3" s="137"/>
      <c r="F3" s="137"/>
      <c r="G3" s="137"/>
      <c r="H3" s="137"/>
      <c r="I3" s="137"/>
      <c r="J3" s="137"/>
      <c r="K3" s="138"/>
      <c r="L3" s="13"/>
      <c r="M3" s="12"/>
    </row>
    <row r="4" spans="2:13">
      <c r="B4" s="11"/>
      <c r="C4" s="139"/>
      <c r="D4" s="15"/>
      <c r="E4" s="15"/>
      <c r="F4" s="15"/>
      <c r="G4" s="15"/>
      <c r="H4" s="15"/>
      <c r="I4" s="15"/>
      <c r="J4" s="15"/>
      <c r="K4" s="141"/>
      <c r="L4" s="13"/>
      <c r="M4" s="12"/>
    </row>
    <row r="5" spans="2:13">
      <c r="B5" s="11"/>
      <c r="C5" s="139"/>
      <c r="D5" s="15"/>
      <c r="E5" s="15"/>
      <c r="F5" s="15"/>
      <c r="G5" s="15"/>
      <c r="H5" s="15"/>
      <c r="I5" s="15"/>
      <c r="J5" s="15"/>
      <c r="K5" s="141"/>
      <c r="L5" s="13"/>
      <c r="M5" s="12"/>
    </row>
    <row r="6" spans="2:13">
      <c r="B6" s="11"/>
      <c r="C6" s="139"/>
      <c r="D6" s="15"/>
      <c r="E6" s="15"/>
      <c r="F6" s="15"/>
      <c r="G6" s="15"/>
      <c r="H6" s="15"/>
      <c r="I6" s="15"/>
      <c r="J6" s="15"/>
      <c r="K6" s="141"/>
      <c r="L6" s="13"/>
      <c r="M6" s="12"/>
    </row>
    <row r="7" spans="2:13">
      <c r="B7" s="11"/>
      <c r="C7" s="139"/>
      <c r="D7" s="15"/>
      <c r="E7" s="15"/>
      <c r="F7" s="15"/>
      <c r="G7" s="15"/>
      <c r="H7" s="15"/>
      <c r="I7" s="15"/>
      <c r="J7" s="15"/>
      <c r="K7" s="141"/>
      <c r="L7" s="13"/>
      <c r="M7" s="12"/>
    </row>
    <row r="8" spans="2:13">
      <c r="B8" s="11"/>
      <c r="C8" s="139"/>
      <c r="D8" s="15"/>
      <c r="E8" s="15"/>
      <c r="F8" s="15"/>
      <c r="G8" s="15"/>
      <c r="H8" s="15"/>
      <c r="I8" s="15"/>
      <c r="J8" s="15"/>
      <c r="K8" s="141"/>
      <c r="L8" s="13"/>
      <c r="M8" s="12"/>
    </row>
    <row r="9" spans="2:13">
      <c r="B9" s="11"/>
      <c r="C9" s="139"/>
      <c r="D9" s="15"/>
      <c r="E9" s="15"/>
      <c r="F9" s="15"/>
      <c r="G9" s="15"/>
      <c r="H9" s="15"/>
      <c r="I9" s="15"/>
      <c r="J9" s="15"/>
      <c r="K9" s="141"/>
      <c r="L9" s="13"/>
      <c r="M9" s="12"/>
    </row>
    <row r="10" spans="2:13">
      <c r="B10" s="11"/>
      <c r="C10" s="139"/>
      <c r="D10" s="15"/>
      <c r="E10" s="15"/>
      <c r="F10" s="15"/>
      <c r="G10" s="15"/>
      <c r="H10" s="15"/>
      <c r="I10" s="15"/>
      <c r="J10" s="15"/>
      <c r="K10" s="141"/>
      <c r="L10" s="13"/>
      <c r="M10" s="12"/>
    </row>
    <row r="11" spans="2:13">
      <c r="B11" s="11"/>
      <c r="C11" s="139"/>
      <c r="D11" s="15"/>
      <c r="E11" s="15"/>
      <c r="F11" s="15"/>
      <c r="G11" s="15"/>
      <c r="H11" s="15"/>
      <c r="I11" s="15"/>
      <c r="J11" s="15"/>
      <c r="K11" s="141"/>
      <c r="L11" s="13"/>
      <c r="M11" s="12"/>
    </row>
    <row r="12" spans="2:13">
      <c r="B12" s="11"/>
      <c r="C12" s="139"/>
      <c r="D12" s="15"/>
      <c r="E12" s="15"/>
      <c r="F12" s="15"/>
      <c r="G12" s="15"/>
      <c r="H12" s="15"/>
      <c r="I12" s="15"/>
      <c r="J12" s="15"/>
      <c r="K12" s="141"/>
      <c r="L12" s="13"/>
      <c r="M12" s="12"/>
    </row>
    <row r="13" spans="2:13">
      <c r="B13" s="11"/>
      <c r="C13" s="139"/>
      <c r="D13" s="15"/>
      <c r="E13" s="15"/>
      <c r="F13" s="15"/>
      <c r="G13" s="15"/>
      <c r="H13" s="15"/>
      <c r="I13" s="15"/>
      <c r="J13" s="15"/>
      <c r="K13" s="141"/>
      <c r="L13" s="13"/>
      <c r="M13" s="12"/>
    </row>
    <row r="14" spans="2:13">
      <c r="B14" s="11"/>
      <c r="C14" s="139"/>
      <c r="D14" s="15"/>
      <c r="E14" s="15"/>
      <c r="F14" s="15"/>
      <c r="G14" s="15"/>
      <c r="H14" s="15"/>
      <c r="I14" s="15"/>
      <c r="J14" s="15"/>
      <c r="K14" s="141"/>
      <c r="L14" s="13"/>
      <c r="M14" s="12"/>
    </row>
    <row r="15" spans="2:13">
      <c r="B15" s="11"/>
      <c r="C15" s="139"/>
      <c r="D15" s="15"/>
      <c r="E15" s="15"/>
      <c r="F15" s="15"/>
      <c r="G15" s="15"/>
      <c r="H15" s="15"/>
      <c r="I15" s="15"/>
      <c r="J15" s="15"/>
      <c r="K15" s="141"/>
      <c r="L15" s="13"/>
      <c r="M15" s="12"/>
    </row>
    <row r="16" spans="2:13">
      <c r="B16" s="11"/>
      <c r="C16" s="139"/>
      <c r="D16" s="143" t="s">
        <v>185</v>
      </c>
      <c r="E16" s="143"/>
      <c r="F16" s="143"/>
      <c r="G16" s="143"/>
      <c r="H16" s="143"/>
      <c r="I16" s="143"/>
      <c r="J16" s="143"/>
      <c r="K16" s="141"/>
      <c r="L16" s="13"/>
      <c r="M16" s="12"/>
    </row>
    <row r="17" spans="2:13" ht="21.75" customHeight="1">
      <c r="B17" s="11"/>
      <c r="C17" s="139"/>
      <c r="D17" s="143"/>
      <c r="E17" s="143"/>
      <c r="F17" s="143"/>
      <c r="G17" s="143"/>
      <c r="H17" s="143"/>
      <c r="I17" s="143"/>
      <c r="J17" s="143"/>
      <c r="K17" s="141"/>
      <c r="L17" s="13"/>
      <c r="M17" s="12"/>
    </row>
    <row r="18" spans="2:13">
      <c r="B18" s="11"/>
      <c r="C18" s="139"/>
      <c r="D18" s="144" t="s">
        <v>335</v>
      </c>
      <c r="E18" s="144"/>
      <c r="F18" s="144"/>
      <c r="G18" s="144"/>
      <c r="H18" s="144"/>
      <c r="I18" s="144"/>
      <c r="J18" s="144"/>
      <c r="K18" s="141"/>
      <c r="L18" s="13"/>
      <c r="M18" s="12"/>
    </row>
    <row r="19" spans="2:13">
      <c r="B19" s="11"/>
      <c r="C19" s="139"/>
      <c r="D19" s="144"/>
      <c r="E19" s="144"/>
      <c r="F19" s="144"/>
      <c r="G19" s="144"/>
      <c r="H19" s="144"/>
      <c r="I19" s="144"/>
      <c r="J19" s="144"/>
      <c r="K19" s="141"/>
      <c r="L19" s="13"/>
      <c r="M19" s="12"/>
    </row>
    <row r="20" spans="2:13">
      <c r="B20" s="11"/>
      <c r="C20" s="139"/>
      <c r="D20" s="15"/>
      <c r="E20" s="15"/>
      <c r="F20" s="15"/>
      <c r="G20" s="15"/>
      <c r="H20" s="15"/>
      <c r="I20" s="15"/>
      <c r="J20" s="15"/>
      <c r="K20" s="141"/>
      <c r="L20" s="13"/>
      <c r="M20" s="12"/>
    </row>
    <row r="21" spans="2:13" ht="15.75" thickBot="1">
      <c r="B21" s="11"/>
      <c r="C21" s="140"/>
      <c r="D21" s="145"/>
      <c r="E21" s="145"/>
      <c r="F21" s="145"/>
      <c r="G21" s="145"/>
      <c r="H21" s="145"/>
      <c r="I21" s="145"/>
      <c r="J21" s="145"/>
      <c r="K21" s="142"/>
      <c r="L21" s="13"/>
      <c r="M21" s="12"/>
    </row>
    <row r="22" spans="2:13" ht="15.75" thickBot="1">
      <c r="B22" s="16"/>
      <c r="C22" s="17"/>
      <c r="D22" s="17"/>
      <c r="E22" s="17"/>
      <c r="F22" s="17"/>
      <c r="G22" s="17"/>
      <c r="H22" s="17"/>
      <c r="I22" s="17"/>
      <c r="J22" s="17"/>
      <c r="K22" s="17"/>
      <c r="L22" s="18"/>
      <c r="M22" s="12"/>
    </row>
  </sheetData>
  <mergeCells count="6">
    <mergeCell ref="C3:K3"/>
    <mergeCell ref="C4:C21"/>
    <mergeCell ref="K4:K21"/>
    <mergeCell ref="D16:J17"/>
    <mergeCell ref="D18:J19"/>
    <mergeCell ref="D21:J21"/>
  </mergeCells>
  <pageMargins left="0.7" right="0.7" top="0.75" bottom="0.75" header="0.3" footer="0.3"/>
  <pageSetup paperSize="9"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1"/>
  <sheetViews>
    <sheetView showGridLines="0" zoomScale="75" zoomScaleNormal="75" zoomScaleSheetLayoutView="62" workbookViewId="0">
      <selection activeCell="B3" sqref="B3"/>
    </sheetView>
  </sheetViews>
  <sheetFormatPr defaultRowHeight="15"/>
  <cols>
    <col min="1" max="2" width="9.140625" style="19"/>
    <col min="3" max="3" width="10.7109375" style="19" customWidth="1"/>
    <col min="4" max="7" width="9.140625" style="19"/>
    <col min="8" max="8" width="14" style="19" customWidth="1"/>
    <col min="9" max="9" width="27.7109375" style="19" customWidth="1"/>
    <col min="10" max="16384" width="9.140625" style="19"/>
  </cols>
  <sheetData>
    <row r="1" spans="2:10" ht="15.75" thickBot="1"/>
    <row r="2" spans="2:10">
      <c r="B2" s="20"/>
      <c r="C2" s="21"/>
      <c r="D2" s="21"/>
      <c r="E2" s="21"/>
      <c r="F2" s="21"/>
      <c r="G2" s="21"/>
      <c r="H2" s="21"/>
      <c r="I2" s="21"/>
      <c r="J2" s="22"/>
    </row>
    <row r="3" spans="2:10" ht="15.75" thickBot="1">
      <c r="B3" s="23"/>
      <c r="C3" s="24"/>
      <c r="D3" s="24"/>
      <c r="E3" s="24"/>
      <c r="F3" s="24"/>
      <c r="G3" s="24"/>
      <c r="H3" s="24"/>
      <c r="I3" s="24"/>
      <c r="J3" s="25"/>
    </row>
    <row r="4" spans="2:10">
      <c r="B4" s="23"/>
      <c r="C4" s="158" t="s">
        <v>113</v>
      </c>
      <c r="D4" s="159"/>
      <c r="E4" s="159"/>
      <c r="F4" s="159"/>
      <c r="G4" s="159"/>
      <c r="H4" s="159"/>
      <c r="I4" s="160"/>
      <c r="J4" s="25"/>
    </row>
    <row r="5" spans="2:10" ht="15.75" thickBot="1">
      <c r="B5" s="23"/>
      <c r="C5" s="161"/>
      <c r="D5" s="162"/>
      <c r="E5" s="162"/>
      <c r="F5" s="162"/>
      <c r="G5" s="162"/>
      <c r="H5" s="162"/>
      <c r="I5" s="163"/>
      <c r="J5" s="25"/>
    </row>
    <row r="6" spans="2:10">
      <c r="B6" s="23"/>
      <c r="C6" s="24"/>
      <c r="D6" s="24"/>
      <c r="E6" s="24"/>
      <c r="F6" s="24"/>
      <c r="G6" s="24"/>
      <c r="H6" s="24"/>
      <c r="I6" s="24"/>
      <c r="J6" s="25"/>
    </row>
    <row r="7" spans="2:10" ht="15.75" thickBot="1">
      <c r="B7" s="23"/>
      <c r="C7" s="24"/>
      <c r="D7" s="24"/>
      <c r="E7" s="24"/>
      <c r="F7" s="24"/>
      <c r="G7" s="24"/>
      <c r="H7" s="24"/>
      <c r="I7" s="24"/>
      <c r="J7" s="25"/>
    </row>
    <row r="8" spans="2:10">
      <c r="B8" s="23"/>
      <c r="C8" s="164" t="s">
        <v>114</v>
      </c>
      <c r="D8" s="166" t="s">
        <v>115</v>
      </c>
      <c r="E8" s="167"/>
      <c r="F8" s="167"/>
      <c r="G8" s="167"/>
      <c r="H8" s="167"/>
      <c r="I8" s="168"/>
      <c r="J8" s="25"/>
    </row>
    <row r="9" spans="2:10" ht="15.75" thickBot="1">
      <c r="B9" s="23"/>
      <c r="C9" s="165"/>
      <c r="D9" s="169"/>
      <c r="E9" s="170"/>
      <c r="F9" s="170"/>
      <c r="G9" s="170"/>
      <c r="H9" s="170"/>
      <c r="I9" s="171"/>
      <c r="J9" s="25"/>
    </row>
    <row r="10" spans="2:10" ht="15" customHeight="1">
      <c r="B10" s="23"/>
      <c r="C10" s="146">
        <v>1</v>
      </c>
      <c r="D10" s="148" t="s">
        <v>336</v>
      </c>
      <c r="E10" s="149"/>
      <c r="F10" s="149"/>
      <c r="G10" s="149"/>
      <c r="H10" s="150"/>
      <c r="I10" s="172" t="s">
        <v>116</v>
      </c>
      <c r="J10" s="25"/>
    </row>
    <row r="11" spans="2:10" ht="15.75" thickBot="1">
      <c r="B11" s="23"/>
      <c r="C11" s="147"/>
      <c r="D11" s="151"/>
      <c r="E11" s="152"/>
      <c r="F11" s="152"/>
      <c r="G11" s="152"/>
      <c r="H11" s="153"/>
      <c r="I11" s="173"/>
      <c r="J11" s="25"/>
    </row>
    <row r="12" spans="2:10">
      <c r="B12" s="23"/>
      <c r="C12" s="146">
        <v>2</v>
      </c>
      <c r="D12" s="148" t="s">
        <v>337</v>
      </c>
      <c r="E12" s="149"/>
      <c r="F12" s="149"/>
      <c r="G12" s="149"/>
      <c r="H12" s="150"/>
      <c r="I12" s="154" t="s">
        <v>329</v>
      </c>
      <c r="J12" s="25"/>
    </row>
    <row r="13" spans="2:10" ht="15.75" thickBot="1">
      <c r="B13" s="23"/>
      <c r="C13" s="147"/>
      <c r="D13" s="151"/>
      <c r="E13" s="152"/>
      <c r="F13" s="152"/>
      <c r="G13" s="152"/>
      <c r="H13" s="153"/>
      <c r="I13" s="155"/>
      <c r="J13" s="25"/>
    </row>
    <row r="14" spans="2:10" ht="15" customHeight="1">
      <c r="B14" s="23"/>
      <c r="C14" s="146">
        <f>3</f>
        <v>3</v>
      </c>
      <c r="D14" s="148" t="s">
        <v>338</v>
      </c>
      <c r="E14" s="149"/>
      <c r="F14" s="149"/>
      <c r="G14" s="149"/>
      <c r="H14" s="150"/>
      <c r="I14" s="26" t="s">
        <v>117</v>
      </c>
      <c r="J14" s="25"/>
    </row>
    <row r="15" spans="2:10" ht="15.75" thickBot="1">
      <c r="B15" s="23"/>
      <c r="C15" s="147"/>
      <c r="D15" s="151"/>
      <c r="E15" s="152"/>
      <c r="F15" s="152"/>
      <c r="G15" s="152"/>
      <c r="H15" s="153"/>
      <c r="I15" s="27"/>
      <c r="J15" s="25"/>
    </row>
    <row r="16" spans="2:10" ht="15" customHeight="1">
      <c r="B16" s="23"/>
      <c r="C16" s="146">
        <v>4</v>
      </c>
      <c r="D16" s="148" t="s">
        <v>118</v>
      </c>
      <c r="E16" s="149"/>
      <c r="F16" s="149"/>
      <c r="G16" s="149"/>
      <c r="H16" s="150"/>
      <c r="I16" s="156" t="s">
        <v>119</v>
      </c>
      <c r="J16" s="25"/>
    </row>
    <row r="17" spans="2:10" ht="15.75" thickBot="1">
      <c r="B17" s="23"/>
      <c r="C17" s="147"/>
      <c r="D17" s="151"/>
      <c r="E17" s="152"/>
      <c r="F17" s="152"/>
      <c r="G17" s="152"/>
      <c r="H17" s="153"/>
      <c r="I17" s="157"/>
      <c r="J17" s="25"/>
    </row>
    <row r="18" spans="2:10" ht="15" customHeight="1">
      <c r="B18" s="23"/>
      <c r="C18" s="28"/>
      <c r="D18" s="28"/>
      <c r="E18" s="28"/>
      <c r="F18" s="28"/>
      <c r="G18" s="28"/>
      <c r="H18" s="28"/>
      <c r="I18" s="28"/>
      <c r="J18" s="25"/>
    </row>
    <row r="19" spans="2:10" ht="15.75" thickBot="1">
      <c r="B19" s="29"/>
      <c r="C19" s="30"/>
      <c r="D19" s="30"/>
      <c r="E19" s="30"/>
      <c r="F19" s="30"/>
      <c r="G19" s="30"/>
      <c r="H19" s="30"/>
      <c r="I19" s="30"/>
      <c r="J19" s="31"/>
    </row>
    <row r="20" spans="2:10">
      <c r="B20" s="32"/>
      <c r="C20" s="32"/>
      <c r="D20" s="32"/>
      <c r="E20" s="32"/>
      <c r="F20" s="32"/>
      <c r="G20" s="32"/>
      <c r="H20" s="32"/>
      <c r="I20" s="32"/>
      <c r="J20" s="32"/>
    </row>
    <row r="21" spans="2:10">
      <c r="B21" s="32"/>
      <c r="C21" s="32"/>
      <c r="D21" s="32"/>
      <c r="E21" s="32"/>
      <c r="F21" s="32"/>
      <c r="G21" s="32"/>
      <c r="H21" s="32"/>
      <c r="I21" s="32"/>
      <c r="J21" s="32"/>
    </row>
  </sheetData>
  <mergeCells count="14">
    <mergeCell ref="C4:I5"/>
    <mergeCell ref="C8:C9"/>
    <mergeCell ref="D8:I9"/>
    <mergeCell ref="C10:C11"/>
    <mergeCell ref="D10:H11"/>
    <mergeCell ref="I10:I11"/>
    <mergeCell ref="C12:C13"/>
    <mergeCell ref="D12:H13"/>
    <mergeCell ref="I12:I13"/>
    <mergeCell ref="I16:I17"/>
    <mergeCell ref="C14:C15"/>
    <mergeCell ref="D14:H15"/>
    <mergeCell ref="C16:C17"/>
    <mergeCell ref="D16:H17"/>
  </mergeCells>
  <hyperlinks>
    <hyperlink ref="I10:I11" location="RACM!A1" display="RACM'!A1"/>
    <hyperlink ref="I12:I13" location="'Internal Control Improvements'!A1" display="Internal Control Improvements'A1"/>
  </hyperlinks>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35"/>
  <sheetViews>
    <sheetView workbookViewId="0"/>
  </sheetViews>
  <sheetFormatPr defaultRowHeight="12.75"/>
  <cols>
    <col min="1" max="1" width="8.42578125" style="33" customWidth="1"/>
    <col min="2" max="2" width="18.7109375" style="33" customWidth="1"/>
    <col min="3" max="3" width="28.7109375" style="33" customWidth="1"/>
    <col min="4" max="4" width="16.85546875" style="33" bestFit="1" customWidth="1"/>
    <col min="5" max="5" width="19.85546875" style="33" bestFit="1" customWidth="1"/>
    <col min="6" max="6" width="19.85546875" style="33" customWidth="1"/>
    <col min="7" max="12" width="18" style="33" customWidth="1"/>
    <col min="13" max="13" width="0" style="33" hidden="1" customWidth="1"/>
    <col min="14" max="17" width="14.140625" style="33" customWidth="1"/>
    <col min="18" max="16384" width="9.140625" style="33"/>
  </cols>
  <sheetData>
    <row r="1" spans="1:17" ht="27.75" thickBot="1">
      <c r="A1" s="64"/>
      <c r="B1" s="65" t="s">
        <v>259</v>
      </c>
      <c r="C1" s="66" t="s">
        <v>260</v>
      </c>
      <c r="D1" s="67" t="s">
        <v>261</v>
      </c>
      <c r="E1" s="68" t="s">
        <v>262</v>
      </c>
      <c r="F1" s="69" t="s">
        <v>263</v>
      </c>
      <c r="G1" s="70" t="s">
        <v>264</v>
      </c>
      <c r="H1" s="71" t="s">
        <v>265</v>
      </c>
      <c r="I1" s="72"/>
      <c r="J1" s="72"/>
      <c r="K1" s="73"/>
      <c r="L1" s="75"/>
      <c r="M1" s="74"/>
      <c r="N1" s="75"/>
      <c r="O1" s="75"/>
      <c r="P1" s="75"/>
      <c r="Q1" s="75"/>
    </row>
    <row r="2" spans="1:17" ht="13.5">
      <c r="A2" s="76"/>
      <c r="B2" s="77" t="s">
        <v>266</v>
      </c>
      <c r="C2" s="78">
        <v>1671.99</v>
      </c>
      <c r="D2" s="79">
        <v>0.01</v>
      </c>
      <c r="E2" s="80">
        <v>16.719899999999999</v>
      </c>
      <c r="F2" s="174">
        <v>16.719899999999999</v>
      </c>
      <c r="G2" s="81"/>
      <c r="H2" s="81"/>
      <c r="I2" s="82"/>
      <c r="J2" s="83"/>
      <c r="K2" s="84"/>
      <c r="L2" s="82"/>
      <c r="M2" s="85"/>
      <c r="N2" s="82"/>
      <c r="O2" s="82"/>
      <c r="P2" s="82"/>
      <c r="Q2" s="82"/>
    </row>
    <row r="3" spans="1:17" ht="13.5">
      <c r="A3" s="76"/>
      <c r="B3" s="77" t="s">
        <v>267</v>
      </c>
      <c r="C3" s="78">
        <v>496.08</v>
      </c>
      <c r="D3" s="79">
        <v>0.05</v>
      </c>
      <c r="E3" s="80">
        <v>24.804000000000002</v>
      </c>
      <c r="F3" s="175"/>
      <c r="G3" s="81"/>
      <c r="H3" s="81"/>
      <c r="I3" s="82"/>
      <c r="J3" s="84"/>
      <c r="K3" s="84"/>
      <c r="L3" s="82"/>
      <c r="M3" s="85"/>
      <c r="N3" s="82"/>
      <c r="O3" s="82"/>
      <c r="P3" s="82"/>
      <c r="Q3" s="82"/>
    </row>
    <row r="4" spans="1:17" ht="13.5">
      <c r="A4" s="76"/>
      <c r="B4" s="76"/>
      <c r="C4" s="76"/>
      <c r="D4" s="82"/>
      <c r="E4" s="82"/>
      <c r="F4" s="82"/>
      <c r="G4" s="82"/>
      <c r="H4" s="82"/>
      <c r="I4" s="82"/>
      <c r="J4" s="82"/>
      <c r="K4" s="82"/>
      <c r="L4" s="82"/>
      <c r="M4" s="85"/>
      <c r="N4" s="82"/>
      <c r="O4" s="83"/>
      <c r="P4" s="83"/>
      <c r="Q4" s="84"/>
    </row>
    <row r="5" spans="1:17" ht="54">
      <c r="A5" s="86" t="s">
        <v>268</v>
      </c>
      <c r="B5" s="86" t="s">
        <v>269</v>
      </c>
      <c r="C5" s="86" t="s">
        <v>270</v>
      </c>
      <c r="D5" s="87" t="s">
        <v>271</v>
      </c>
      <c r="E5" s="87" t="s">
        <v>272</v>
      </c>
      <c r="F5" s="87" t="s">
        <v>273</v>
      </c>
      <c r="G5" s="88" t="s">
        <v>274</v>
      </c>
      <c r="H5" s="88" t="s">
        <v>275</v>
      </c>
      <c r="I5" s="88" t="s">
        <v>276</v>
      </c>
      <c r="J5" s="88" t="s">
        <v>277</v>
      </c>
      <c r="K5" s="89" t="s">
        <v>278</v>
      </c>
      <c r="M5" s="90"/>
      <c r="N5" s="91"/>
      <c r="O5" s="91"/>
      <c r="P5" s="91"/>
      <c r="Q5" s="91"/>
    </row>
    <row r="6" spans="1:17" ht="15">
      <c r="A6" s="109" t="s">
        <v>186</v>
      </c>
      <c r="B6" s="114">
        <v>5704113</v>
      </c>
      <c r="C6" s="110" t="s">
        <v>279</v>
      </c>
      <c r="D6" s="116">
        <v>2007378278.6700001</v>
      </c>
      <c r="E6" s="111">
        <v>200.73782786700002</v>
      </c>
      <c r="F6" s="92" t="s">
        <v>280</v>
      </c>
      <c r="G6" s="92" t="s">
        <v>281</v>
      </c>
      <c r="H6" s="92" t="s">
        <v>281</v>
      </c>
      <c r="I6" s="92" t="s">
        <v>281</v>
      </c>
      <c r="J6" s="92" t="s">
        <v>281</v>
      </c>
      <c r="K6" s="112" t="s">
        <v>30</v>
      </c>
      <c r="M6" s="93"/>
      <c r="N6" s="94"/>
      <c r="O6" s="94"/>
      <c r="P6" s="94"/>
      <c r="Q6" s="73"/>
    </row>
    <row r="7" spans="1:17" ht="15">
      <c r="A7" s="113" t="s">
        <v>186</v>
      </c>
      <c r="B7" s="115">
        <v>4616009</v>
      </c>
      <c r="C7" s="110" t="s">
        <v>311</v>
      </c>
      <c r="D7" s="116">
        <v>1939396455.52</v>
      </c>
      <c r="E7" s="111">
        <v>193.939645552</v>
      </c>
      <c r="F7" s="92" t="s">
        <v>280</v>
      </c>
      <c r="G7" s="92" t="s">
        <v>281</v>
      </c>
      <c r="H7" s="92" t="s">
        <v>281</v>
      </c>
      <c r="I7" s="92" t="s">
        <v>281</v>
      </c>
      <c r="J7" s="92" t="s">
        <v>281</v>
      </c>
      <c r="K7" s="112" t="s">
        <v>30</v>
      </c>
      <c r="M7" s="93"/>
      <c r="N7" s="94"/>
      <c r="O7" s="94"/>
      <c r="P7" s="94"/>
      <c r="Q7" s="73"/>
    </row>
    <row r="8" spans="1:17" ht="15">
      <c r="A8" s="113" t="s">
        <v>186</v>
      </c>
      <c r="B8" s="114">
        <v>4616003</v>
      </c>
      <c r="C8" s="110" t="s">
        <v>309</v>
      </c>
      <c r="D8" s="116">
        <v>1205612895.23</v>
      </c>
      <c r="E8" s="111">
        <v>120.561289523</v>
      </c>
      <c r="F8" s="92" t="s">
        <v>280</v>
      </c>
      <c r="G8" s="92" t="s">
        <v>281</v>
      </c>
      <c r="H8" s="92" t="s">
        <v>281</v>
      </c>
      <c r="I8" s="92" t="s">
        <v>281</v>
      </c>
      <c r="J8" s="92" t="s">
        <v>281</v>
      </c>
      <c r="K8" s="112" t="s">
        <v>30</v>
      </c>
      <c r="M8" s="93"/>
      <c r="N8" s="94"/>
      <c r="O8" s="94"/>
      <c r="P8" s="94"/>
      <c r="Q8" s="73"/>
    </row>
    <row r="9" spans="1:17" ht="15">
      <c r="A9" s="109" t="s">
        <v>186</v>
      </c>
      <c r="B9" s="115">
        <v>4616004</v>
      </c>
      <c r="C9" s="110" t="s">
        <v>282</v>
      </c>
      <c r="D9" s="116">
        <v>553923065.46000004</v>
      </c>
      <c r="E9" s="111">
        <v>55.392306546</v>
      </c>
      <c r="F9" s="92" t="s">
        <v>280</v>
      </c>
      <c r="G9" s="92" t="s">
        <v>281</v>
      </c>
      <c r="H9" s="92" t="s">
        <v>281</v>
      </c>
      <c r="I9" s="92" t="s">
        <v>281</v>
      </c>
      <c r="J9" s="92" t="s">
        <v>280</v>
      </c>
      <c r="K9" s="112" t="s">
        <v>30</v>
      </c>
      <c r="M9" s="93"/>
      <c r="N9" s="94"/>
      <c r="O9" s="94"/>
      <c r="P9" s="94"/>
      <c r="Q9" s="73"/>
    </row>
    <row r="10" spans="1:17" ht="30">
      <c r="A10" s="113" t="s">
        <v>186</v>
      </c>
      <c r="B10" s="114">
        <v>1412002</v>
      </c>
      <c r="C10" s="110" t="s">
        <v>287</v>
      </c>
      <c r="D10" s="116">
        <v>101889413</v>
      </c>
      <c r="E10" s="111">
        <v>10.1889413</v>
      </c>
      <c r="F10" s="92" t="s">
        <v>281</v>
      </c>
      <c r="G10" s="92" t="s">
        <v>280</v>
      </c>
      <c r="H10" s="92" t="s">
        <v>288</v>
      </c>
      <c r="I10" s="92" t="s">
        <v>281</v>
      </c>
      <c r="J10" s="92" t="s">
        <v>281</v>
      </c>
      <c r="K10" s="112" t="s">
        <v>30</v>
      </c>
      <c r="M10" s="93"/>
      <c r="N10" s="94"/>
      <c r="O10" s="94"/>
      <c r="P10" s="94"/>
      <c r="Q10" s="73"/>
    </row>
    <row r="11" spans="1:17" ht="30">
      <c r="A11" s="109" t="s">
        <v>186</v>
      </c>
      <c r="B11" s="115">
        <v>4616005</v>
      </c>
      <c r="C11" s="110" t="s">
        <v>283</v>
      </c>
      <c r="D11" s="116">
        <v>84009017.680000007</v>
      </c>
      <c r="E11" s="111">
        <v>8.4009017680000007</v>
      </c>
      <c r="F11" s="92" t="s">
        <v>281</v>
      </c>
      <c r="G11" s="92" t="s">
        <v>281</v>
      </c>
      <c r="H11" s="92" t="s">
        <v>280</v>
      </c>
      <c r="I11" s="92" t="s">
        <v>281</v>
      </c>
      <c r="J11" s="92" t="s">
        <v>281</v>
      </c>
      <c r="K11" s="112" t="s">
        <v>30</v>
      </c>
      <c r="M11" s="93"/>
      <c r="N11" s="94"/>
      <c r="O11" s="94"/>
      <c r="P11" s="94"/>
      <c r="Q11" s="73"/>
    </row>
    <row r="12" spans="1:17" ht="15">
      <c r="A12" s="109" t="s">
        <v>186</v>
      </c>
      <c r="B12" s="114">
        <v>5704114</v>
      </c>
      <c r="C12" s="110" t="s">
        <v>284</v>
      </c>
      <c r="D12" s="116">
        <v>37287409.960000001</v>
      </c>
      <c r="E12" s="111">
        <v>3.728740996</v>
      </c>
      <c r="F12" s="92" t="s">
        <v>281</v>
      </c>
      <c r="G12" s="92" t="s">
        <v>281</v>
      </c>
      <c r="H12" s="92" t="s">
        <v>280</v>
      </c>
      <c r="I12" s="92" t="s">
        <v>281</v>
      </c>
      <c r="J12" s="92" t="s">
        <v>281</v>
      </c>
      <c r="K12" s="112" t="s">
        <v>30</v>
      </c>
      <c r="M12" s="93"/>
      <c r="N12" s="94"/>
      <c r="O12" s="94"/>
      <c r="P12" s="94"/>
      <c r="Q12" s="73"/>
    </row>
    <row r="13" spans="1:17" ht="30">
      <c r="A13" s="109" t="s">
        <v>186</v>
      </c>
      <c r="B13" s="115">
        <v>5704015</v>
      </c>
      <c r="C13" s="110" t="s">
        <v>285</v>
      </c>
      <c r="D13" s="116">
        <v>26738979</v>
      </c>
      <c r="E13" s="111">
        <v>2.6738979</v>
      </c>
      <c r="F13" s="92" t="s">
        <v>281</v>
      </c>
      <c r="G13" s="92" t="s">
        <v>281</v>
      </c>
      <c r="H13" s="92" t="s">
        <v>280</v>
      </c>
      <c r="I13" s="92" t="s">
        <v>281</v>
      </c>
      <c r="J13" s="92" t="s">
        <v>281</v>
      </c>
      <c r="K13" s="112" t="s">
        <v>30</v>
      </c>
      <c r="M13" s="93"/>
      <c r="N13" s="94"/>
      <c r="O13" s="94"/>
      <c r="P13" s="94"/>
      <c r="Q13" s="73"/>
    </row>
    <row r="14" spans="1:17" ht="30">
      <c r="A14" s="109" t="s">
        <v>186</v>
      </c>
      <c r="B14" s="115">
        <v>4614011</v>
      </c>
      <c r="C14" s="110" t="s">
        <v>286</v>
      </c>
      <c r="D14" s="116">
        <v>19951452</v>
      </c>
      <c r="E14" s="111">
        <v>1.9951452000000001</v>
      </c>
      <c r="F14" s="92" t="s">
        <v>281</v>
      </c>
      <c r="G14" s="92" t="s">
        <v>281</v>
      </c>
      <c r="H14" s="92" t="s">
        <v>280</v>
      </c>
      <c r="I14" s="92" t="s">
        <v>281</v>
      </c>
      <c r="J14" s="92" t="s">
        <v>281</v>
      </c>
      <c r="K14" s="112" t="s">
        <v>30</v>
      </c>
      <c r="M14" s="93"/>
      <c r="N14" s="94"/>
      <c r="O14" s="94"/>
      <c r="P14" s="94"/>
      <c r="Q14" s="73"/>
    </row>
    <row r="15" spans="1:17" ht="30">
      <c r="A15" s="109" t="s">
        <v>186</v>
      </c>
      <c r="B15" s="114">
        <v>5704115</v>
      </c>
      <c r="C15" s="110" t="s">
        <v>289</v>
      </c>
      <c r="D15" s="116">
        <v>18643736.32</v>
      </c>
      <c r="E15" s="111">
        <v>1.8643736319999999</v>
      </c>
      <c r="F15" s="92" t="s">
        <v>281</v>
      </c>
      <c r="G15" s="92" t="s">
        <v>281</v>
      </c>
      <c r="H15" s="92" t="s">
        <v>280</v>
      </c>
      <c r="I15" s="92" t="s">
        <v>281</v>
      </c>
      <c r="J15" s="92" t="s">
        <v>281</v>
      </c>
      <c r="K15" s="112" t="s">
        <v>30</v>
      </c>
      <c r="M15" s="93"/>
      <c r="N15" s="94"/>
      <c r="O15" s="94"/>
      <c r="P15" s="94"/>
      <c r="Q15" s="73"/>
    </row>
    <row r="16" spans="1:17" ht="15">
      <c r="A16" s="109" t="s">
        <v>186</v>
      </c>
      <c r="B16" s="115">
        <v>4614101</v>
      </c>
      <c r="C16" s="110" t="s">
        <v>290</v>
      </c>
      <c r="D16" s="116">
        <v>16942010</v>
      </c>
      <c r="E16" s="111">
        <v>1.6942010000000001</v>
      </c>
      <c r="F16" s="92" t="s">
        <v>281</v>
      </c>
      <c r="G16" s="92" t="s">
        <v>281</v>
      </c>
      <c r="H16" s="92" t="s">
        <v>280</v>
      </c>
      <c r="I16" s="92" t="s">
        <v>281</v>
      </c>
      <c r="J16" s="92" t="s">
        <v>281</v>
      </c>
      <c r="K16" s="112" t="s">
        <v>30</v>
      </c>
      <c r="M16" s="93"/>
      <c r="N16" s="94"/>
      <c r="O16" s="94"/>
      <c r="P16" s="94"/>
      <c r="Q16" s="73"/>
    </row>
    <row r="17" spans="1:11" ht="15">
      <c r="A17" s="109" t="s">
        <v>186</v>
      </c>
      <c r="B17" s="115">
        <v>5806001</v>
      </c>
      <c r="C17" s="110" t="s">
        <v>292</v>
      </c>
      <c r="D17" s="116">
        <v>14618536</v>
      </c>
      <c r="E17" s="111">
        <v>1.4618536</v>
      </c>
      <c r="F17" s="92" t="s">
        <v>281</v>
      </c>
      <c r="G17" s="92" t="s">
        <v>280</v>
      </c>
      <c r="H17" s="92" t="s">
        <v>281</v>
      </c>
      <c r="I17" s="92" t="s">
        <v>281</v>
      </c>
      <c r="J17" s="92" t="s">
        <v>281</v>
      </c>
      <c r="K17" s="112" t="s">
        <v>30</v>
      </c>
    </row>
    <row r="18" spans="1:11" ht="15">
      <c r="A18" s="109" t="s">
        <v>186</v>
      </c>
      <c r="B18" s="115">
        <v>5704013</v>
      </c>
      <c r="C18" s="110" t="s">
        <v>293</v>
      </c>
      <c r="D18" s="116">
        <v>13491457.689999999</v>
      </c>
      <c r="E18" s="111">
        <v>1.3491457689999999</v>
      </c>
      <c r="F18" s="92" t="s">
        <v>281</v>
      </c>
      <c r="G18" s="92" t="s">
        <v>280</v>
      </c>
      <c r="H18" s="92" t="s">
        <v>281</v>
      </c>
      <c r="I18" s="92" t="s">
        <v>281</v>
      </c>
      <c r="J18" s="92" t="s">
        <v>281</v>
      </c>
      <c r="K18" s="112" t="s">
        <v>30</v>
      </c>
    </row>
    <row r="19" spans="1:11" ht="15">
      <c r="A19" s="109" t="s">
        <v>186</v>
      </c>
      <c r="B19" s="115">
        <v>4614018</v>
      </c>
      <c r="C19" s="110" t="s">
        <v>294</v>
      </c>
      <c r="D19" s="116">
        <v>13111266</v>
      </c>
      <c r="E19" s="111">
        <v>1.3111265999999999</v>
      </c>
      <c r="F19" s="92" t="s">
        <v>281</v>
      </c>
      <c r="G19" s="92" t="s">
        <v>281</v>
      </c>
      <c r="H19" s="92" t="s">
        <v>280</v>
      </c>
      <c r="I19" s="92" t="s">
        <v>281</v>
      </c>
      <c r="J19" s="92" t="s">
        <v>281</v>
      </c>
      <c r="K19" s="112" t="s">
        <v>30</v>
      </c>
    </row>
    <row r="20" spans="1:11" ht="15">
      <c r="A20" s="109" t="s">
        <v>186</v>
      </c>
      <c r="B20" s="115">
        <v>5703013</v>
      </c>
      <c r="C20" s="110" t="s">
        <v>295</v>
      </c>
      <c r="D20" s="116">
        <v>12294323.09</v>
      </c>
      <c r="E20" s="111">
        <v>1.2294323089999999</v>
      </c>
      <c r="F20" s="92" t="s">
        <v>281</v>
      </c>
      <c r="G20" s="92" t="s">
        <v>280</v>
      </c>
      <c r="H20" s="92" t="s">
        <v>280</v>
      </c>
      <c r="I20" s="92" t="s">
        <v>281</v>
      </c>
      <c r="J20" s="92" t="s">
        <v>281</v>
      </c>
      <c r="K20" s="112" t="s">
        <v>30</v>
      </c>
    </row>
    <row r="21" spans="1:11" ht="15">
      <c r="A21" s="109" t="s">
        <v>186</v>
      </c>
      <c r="B21" s="115">
        <v>4614013</v>
      </c>
      <c r="C21" s="110" t="s">
        <v>296</v>
      </c>
      <c r="D21" s="116">
        <v>11638734.74</v>
      </c>
      <c r="E21" s="111">
        <v>1.1638734740000001</v>
      </c>
      <c r="F21" s="92" t="s">
        <v>281</v>
      </c>
      <c r="G21" s="92" t="s">
        <v>280</v>
      </c>
      <c r="H21" s="92" t="s">
        <v>280</v>
      </c>
      <c r="I21" s="92" t="s">
        <v>281</v>
      </c>
      <c r="J21" s="92" t="s">
        <v>281</v>
      </c>
      <c r="K21" s="112" t="s">
        <v>30</v>
      </c>
    </row>
    <row r="22" spans="1:11" ht="30" hidden="1">
      <c r="A22" s="109" t="s">
        <v>186</v>
      </c>
      <c r="B22" s="114">
        <v>4614015</v>
      </c>
      <c r="C22" s="110" t="s">
        <v>297</v>
      </c>
      <c r="D22" s="116">
        <v>10407465</v>
      </c>
      <c r="E22" s="111">
        <v>1.0407465</v>
      </c>
      <c r="F22" s="92" t="s">
        <v>281</v>
      </c>
      <c r="G22" s="92" t="s">
        <v>281</v>
      </c>
      <c r="H22" s="92" t="s">
        <v>281</v>
      </c>
      <c r="I22" s="92" t="s">
        <v>281</v>
      </c>
      <c r="J22" s="92" t="s">
        <v>281</v>
      </c>
      <c r="K22" s="112" t="s">
        <v>31</v>
      </c>
    </row>
    <row r="23" spans="1:11" ht="30" hidden="1">
      <c r="A23" s="109" t="s">
        <v>186</v>
      </c>
      <c r="B23" s="115">
        <v>2512001</v>
      </c>
      <c r="C23" s="110" t="s">
        <v>298</v>
      </c>
      <c r="D23" s="116">
        <v>10301641</v>
      </c>
      <c r="E23" s="111">
        <v>1.0301640999999999</v>
      </c>
      <c r="F23" s="92" t="s">
        <v>281</v>
      </c>
      <c r="G23" s="92" t="s">
        <v>281</v>
      </c>
      <c r="H23" s="92" t="s">
        <v>281</v>
      </c>
      <c r="I23" s="92" t="s">
        <v>281</v>
      </c>
      <c r="J23" s="92" t="s">
        <v>281</v>
      </c>
      <c r="K23" s="112" t="s">
        <v>31</v>
      </c>
    </row>
    <row r="24" spans="1:11" ht="15" hidden="1">
      <c r="A24" s="109" t="s">
        <v>186</v>
      </c>
      <c r="B24" s="114">
        <v>2501001</v>
      </c>
      <c r="C24" s="110" t="s">
        <v>299</v>
      </c>
      <c r="D24" s="116">
        <v>8273474</v>
      </c>
      <c r="E24" s="111">
        <v>0.82734739999999996</v>
      </c>
      <c r="F24" s="92" t="s">
        <v>281</v>
      </c>
      <c r="G24" s="92" t="s">
        <v>281</v>
      </c>
      <c r="H24" s="92" t="s">
        <v>281</v>
      </c>
      <c r="I24" s="92" t="s">
        <v>281</v>
      </c>
      <c r="J24" s="92" t="s">
        <v>281</v>
      </c>
      <c r="K24" s="112" t="s">
        <v>31</v>
      </c>
    </row>
    <row r="25" spans="1:11" ht="30" hidden="1">
      <c r="A25" s="109" t="s">
        <v>186</v>
      </c>
      <c r="B25" s="114">
        <v>4616028</v>
      </c>
      <c r="C25" s="110" t="s">
        <v>300</v>
      </c>
      <c r="D25" s="116">
        <v>5096455.05</v>
      </c>
      <c r="E25" s="111">
        <v>0.50964550499999994</v>
      </c>
      <c r="F25" s="92" t="s">
        <v>281</v>
      </c>
      <c r="G25" s="92" t="s">
        <v>281</v>
      </c>
      <c r="H25" s="92" t="s">
        <v>281</v>
      </c>
      <c r="I25" s="92" t="s">
        <v>281</v>
      </c>
      <c r="J25" s="92" t="s">
        <v>281</v>
      </c>
      <c r="K25" s="112" t="s">
        <v>31</v>
      </c>
    </row>
    <row r="26" spans="1:11" ht="15" hidden="1">
      <c r="A26" s="109" t="s">
        <v>186</v>
      </c>
      <c r="B26" s="115">
        <v>4614017</v>
      </c>
      <c r="C26" s="110" t="s">
        <v>301</v>
      </c>
      <c r="D26" s="116">
        <v>4968141</v>
      </c>
      <c r="E26" s="111">
        <v>0.49681409999999998</v>
      </c>
      <c r="F26" s="92" t="s">
        <v>281</v>
      </c>
      <c r="G26" s="92" t="s">
        <v>281</v>
      </c>
      <c r="H26" s="92" t="s">
        <v>281</v>
      </c>
      <c r="I26" s="92" t="s">
        <v>281</v>
      </c>
      <c r="J26" s="92" t="s">
        <v>281</v>
      </c>
      <c r="K26" s="112" t="s">
        <v>31</v>
      </c>
    </row>
    <row r="27" spans="1:11" ht="30" hidden="1">
      <c r="A27" s="109" t="s">
        <v>186</v>
      </c>
      <c r="B27" s="115">
        <v>4614103</v>
      </c>
      <c r="C27" s="110" t="s">
        <v>302</v>
      </c>
      <c r="D27" s="116">
        <v>4916596</v>
      </c>
      <c r="E27" s="111">
        <v>0.49165959999999997</v>
      </c>
      <c r="F27" s="92" t="s">
        <v>281</v>
      </c>
      <c r="G27" s="92" t="s">
        <v>281</v>
      </c>
      <c r="H27" s="92" t="s">
        <v>281</v>
      </c>
      <c r="I27" s="92" t="s">
        <v>281</v>
      </c>
      <c r="J27" s="92" t="s">
        <v>281</v>
      </c>
      <c r="K27" s="112" t="s">
        <v>31</v>
      </c>
    </row>
    <row r="28" spans="1:11" ht="30" hidden="1">
      <c r="A28" s="113" t="s">
        <v>186</v>
      </c>
      <c r="B28" s="115">
        <v>1412001</v>
      </c>
      <c r="C28" s="110" t="s">
        <v>291</v>
      </c>
      <c r="D28" s="116">
        <v>3871061</v>
      </c>
      <c r="E28" s="111">
        <v>0.38710610000000001</v>
      </c>
      <c r="F28" s="92" t="s">
        <v>281</v>
      </c>
      <c r="G28" s="92" t="s">
        <v>281</v>
      </c>
      <c r="H28" s="92" t="s">
        <v>281</v>
      </c>
      <c r="I28" s="92" t="s">
        <v>281</v>
      </c>
      <c r="J28" s="92" t="s">
        <v>281</v>
      </c>
      <c r="K28" s="112" t="s">
        <v>31</v>
      </c>
    </row>
    <row r="29" spans="1:11" ht="30" hidden="1">
      <c r="A29" s="109" t="s">
        <v>186</v>
      </c>
      <c r="B29" s="115">
        <v>5703005</v>
      </c>
      <c r="C29" s="110" t="s">
        <v>303</v>
      </c>
      <c r="D29" s="116">
        <v>3871061</v>
      </c>
      <c r="E29" s="111">
        <v>0.38710610000000001</v>
      </c>
      <c r="F29" s="92" t="s">
        <v>281</v>
      </c>
      <c r="G29" s="92" t="s">
        <v>281</v>
      </c>
      <c r="H29" s="92" t="s">
        <v>281</v>
      </c>
      <c r="I29" s="92" t="s">
        <v>281</v>
      </c>
      <c r="J29" s="92" t="s">
        <v>281</v>
      </c>
      <c r="K29" s="112" t="s">
        <v>31</v>
      </c>
    </row>
    <row r="30" spans="1:11" ht="30" hidden="1">
      <c r="A30" s="109" t="s">
        <v>186</v>
      </c>
      <c r="B30" s="115">
        <v>2903007</v>
      </c>
      <c r="C30" s="110" t="s">
        <v>304</v>
      </c>
      <c r="D30" s="116">
        <v>1891133</v>
      </c>
      <c r="E30" s="111">
        <v>0.18911330000000001</v>
      </c>
      <c r="F30" s="92" t="s">
        <v>281</v>
      </c>
      <c r="G30" s="92" t="s">
        <v>281</v>
      </c>
      <c r="H30" s="92" t="s">
        <v>281</v>
      </c>
      <c r="I30" s="92" t="s">
        <v>281</v>
      </c>
      <c r="J30" s="92" t="s">
        <v>281</v>
      </c>
      <c r="K30" s="112" t="s">
        <v>31</v>
      </c>
    </row>
    <row r="31" spans="1:11" ht="30" hidden="1">
      <c r="A31" s="109" t="s">
        <v>186</v>
      </c>
      <c r="B31" s="115">
        <v>5704104</v>
      </c>
      <c r="C31" s="110" t="s">
        <v>305</v>
      </c>
      <c r="D31" s="116">
        <v>805652.38</v>
      </c>
      <c r="E31" s="111">
        <v>8.0565237999999997E-2</v>
      </c>
      <c r="F31" s="92" t="s">
        <v>281</v>
      </c>
      <c r="G31" s="92" t="s">
        <v>281</v>
      </c>
      <c r="H31" s="92" t="s">
        <v>281</v>
      </c>
      <c r="I31" s="92" t="s">
        <v>281</v>
      </c>
      <c r="J31" s="92" t="s">
        <v>281</v>
      </c>
      <c r="K31" s="112" t="s">
        <v>31</v>
      </c>
    </row>
    <row r="32" spans="1:11" ht="15" hidden="1">
      <c r="A32" s="109" t="s">
        <v>186</v>
      </c>
      <c r="B32" s="115">
        <v>5704105</v>
      </c>
      <c r="C32" s="110" t="s">
        <v>306</v>
      </c>
      <c r="D32" s="116">
        <v>604848.85</v>
      </c>
      <c r="E32" s="111">
        <v>6.0484884999999995E-2</v>
      </c>
      <c r="F32" s="92" t="s">
        <v>281</v>
      </c>
      <c r="G32" s="92" t="s">
        <v>281</v>
      </c>
      <c r="H32" s="92" t="s">
        <v>281</v>
      </c>
      <c r="I32" s="92" t="s">
        <v>281</v>
      </c>
      <c r="J32" s="92" t="s">
        <v>281</v>
      </c>
      <c r="K32" s="112" t="s">
        <v>31</v>
      </c>
    </row>
    <row r="33" spans="1:11" ht="15" hidden="1">
      <c r="A33" s="109" t="s">
        <v>186</v>
      </c>
      <c r="B33" s="115">
        <v>3501001</v>
      </c>
      <c r="C33" s="110" t="s">
        <v>307</v>
      </c>
      <c r="D33" s="116">
        <v>165059</v>
      </c>
      <c r="E33" s="111">
        <v>1.65059E-2</v>
      </c>
      <c r="F33" s="92" t="s">
        <v>281</v>
      </c>
      <c r="G33" s="92" t="s">
        <v>281</v>
      </c>
      <c r="H33" s="92" t="s">
        <v>281</v>
      </c>
      <c r="I33" s="92" t="s">
        <v>281</v>
      </c>
      <c r="J33" s="92" t="s">
        <v>281</v>
      </c>
      <c r="K33" s="112" t="s">
        <v>31</v>
      </c>
    </row>
    <row r="34" spans="1:11" ht="15" hidden="1">
      <c r="A34" s="109" t="s">
        <v>186</v>
      </c>
      <c r="B34" s="114">
        <v>5704101</v>
      </c>
      <c r="C34" s="110" t="s">
        <v>308</v>
      </c>
      <c r="D34" s="116">
        <v>92240.49</v>
      </c>
      <c r="E34" s="111">
        <v>9.2240489999999998E-3</v>
      </c>
      <c r="F34" s="92" t="s">
        <v>281</v>
      </c>
      <c r="G34" s="92" t="s">
        <v>281</v>
      </c>
      <c r="H34" s="92" t="s">
        <v>281</v>
      </c>
      <c r="I34" s="92" t="s">
        <v>281</v>
      </c>
      <c r="J34" s="92" t="s">
        <v>281</v>
      </c>
      <c r="K34" s="112" t="s">
        <v>31</v>
      </c>
    </row>
    <row r="35" spans="1:11" ht="30" hidden="1">
      <c r="A35" s="109" t="s">
        <v>186</v>
      </c>
      <c r="B35" s="115">
        <v>2903009</v>
      </c>
      <c r="C35" s="110" t="s">
        <v>310</v>
      </c>
      <c r="D35" s="116">
        <v>0</v>
      </c>
      <c r="E35" s="111">
        <v>0</v>
      </c>
      <c r="F35" s="92" t="s">
        <v>281</v>
      </c>
      <c r="G35" s="92" t="s">
        <v>281</v>
      </c>
      <c r="H35" s="92" t="s">
        <v>281</v>
      </c>
      <c r="I35" s="92" t="s">
        <v>281</v>
      </c>
      <c r="J35" s="92" t="s">
        <v>281</v>
      </c>
      <c r="K35" s="112" t="s">
        <v>31</v>
      </c>
    </row>
  </sheetData>
  <autoFilter ref="A5:K35">
    <filterColumn colId="10">
      <filters>
        <filter val="Yes"/>
      </filters>
    </filterColumn>
    <sortState ref="A6:K35">
      <sortCondition descending="1" ref="E5:E35"/>
    </sortState>
  </autoFilter>
  <mergeCells count="1">
    <mergeCell ref="F2:F3"/>
  </mergeCells>
  <conditionalFormatting sqref="F6:J35">
    <cfRule type="cellIs" dxfId="3" priority="2" operator="equal">
      <formula>"Y"</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3"/>
  <sheetViews>
    <sheetView showGridLines="0" zoomScaleNormal="100" workbookViewId="0">
      <pane ySplit="6" topLeftCell="A7" activePane="bottomLeft" state="frozen"/>
      <selection pane="bottomLeft" sqref="A1:D1"/>
    </sheetView>
  </sheetViews>
  <sheetFormatPr defaultRowHeight="12"/>
  <cols>
    <col min="1" max="1" width="13.85546875" style="1" bestFit="1" customWidth="1"/>
    <col min="2" max="2" width="16.7109375" style="1" bestFit="1" customWidth="1"/>
    <col min="3" max="3" width="8.7109375" style="1" customWidth="1"/>
    <col min="4" max="4" width="33.85546875" style="1" bestFit="1" customWidth="1"/>
    <col min="5" max="5" width="14" style="1" bestFit="1" customWidth="1"/>
    <col min="6" max="6" width="56.5703125" style="1" customWidth="1"/>
    <col min="7" max="7" width="16" style="194" customWidth="1"/>
    <col min="8" max="8" width="15.5703125" style="195" customWidth="1"/>
    <col min="9" max="9" width="13.42578125" style="195" customWidth="1"/>
    <col min="10" max="14" width="9.140625" style="1" customWidth="1"/>
    <col min="15" max="15" width="32.28515625" style="1" customWidth="1"/>
    <col min="16" max="16" width="19.28515625" style="120" customWidth="1"/>
    <col min="17" max="17" width="12.42578125" style="120" customWidth="1"/>
    <col min="18" max="18" width="15.7109375" style="120" customWidth="1"/>
    <col min="19" max="19" width="13.85546875" style="120" customWidth="1"/>
    <col min="20" max="20" width="18" style="120" customWidth="1"/>
    <col min="21" max="21" width="9.140625" style="120"/>
    <col min="22" max="22" width="40.85546875" style="1" customWidth="1"/>
    <col min="23" max="23" width="19.28515625" style="1" customWidth="1"/>
    <col min="24" max="16384" width="9.140625" style="1"/>
  </cols>
  <sheetData>
    <row r="1" spans="1:24">
      <c r="A1" s="177" t="s">
        <v>255</v>
      </c>
      <c r="B1" s="177"/>
      <c r="C1" s="177"/>
      <c r="D1" s="177"/>
    </row>
    <row r="2" spans="1:24">
      <c r="A2" s="2" t="s">
        <v>25</v>
      </c>
      <c r="B2" s="3" t="s">
        <v>234</v>
      </c>
      <c r="C2" s="4"/>
      <c r="D2" s="4"/>
    </row>
    <row r="3" spans="1:24" ht="12.75">
      <c r="A3" s="2" t="s">
        <v>26</v>
      </c>
      <c r="B3" s="105" t="s">
        <v>256</v>
      </c>
      <c r="C3" s="4"/>
      <c r="D3" s="4"/>
    </row>
    <row r="4" spans="1:24">
      <c r="A4" s="5" t="s">
        <v>27</v>
      </c>
      <c r="B4" s="6" t="s">
        <v>49</v>
      </c>
      <c r="C4" s="4"/>
      <c r="D4" s="4"/>
    </row>
    <row r="5" spans="1:24" ht="18.75" customHeight="1">
      <c r="A5" s="193"/>
      <c r="B5" s="193"/>
      <c r="C5" s="193"/>
      <c r="D5" s="193"/>
      <c r="E5" s="193"/>
      <c r="F5" s="193"/>
      <c r="G5" s="135"/>
      <c r="H5" s="135"/>
      <c r="I5" s="135"/>
      <c r="J5" s="176" t="s">
        <v>0</v>
      </c>
      <c r="K5" s="176"/>
      <c r="L5" s="176"/>
      <c r="M5" s="176"/>
      <c r="N5" s="176"/>
      <c r="O5" s="133"/>
      <c r="P5" s="176" t="s">
        <v>1</v>
      </c>
      <c r="Q5" s="176"/>
      <c r="R5" s="176"/>
      <c r="S5" s="176"/>
      <c r="T5" s="176"/>
      <c r="U5" s="176"/>
      <c r="V5" s="176" t="s">
        <v>2</v>
      </c>
      <c r="W5" s="176"/>
      <c r="X5" s="122" t="s">
        <v>3</v>
      </c>
    </row>
    <row r="6" spans="1:24" ht="33" customHeight="1">
      <c r="A6" s="135" t="s">
        <v>4</v>
      </c>
      <c r="B6" s="135" t="s">
        <v>5</v>
      </c>
      <c r="C6" s="135" t="s">
        <v>6</v>
      </c>
      <c r="D6" s="135" t="s">
        <v>8</v>
      </c>
      <c r="E6" s="135" t="s">
        <v>9</v>
      </c>
      <c r="F6" s="135" t="s">
        <v>10</v>
      </c>
      <c r="G6" s="135" t="s">
        <v>11</v>
      </c>
      <c r="H6" s="135" t="s">
        <v>12</v>
      </c>
      <c r="I6" s="135" t="s">
        <v>13</v>
      </c>
      <c r="J6" s="134" t="s">
        <v>14</v>
      </c>
      <c r="K6" s="134" t="s">
        <v>15</v>
      </c>
      <c r="L6" s="134" t="s">
        <v>16</v>
      </c>
      <c r="M6" s="134" t="s">
        <v>17</v>
      </c>
      <c r="N6" s="134" t="s">
        <v>18</v>
      </c>
      <c r="O6" s="134" t="s">
        <v>19</v>
      </c>
      <c r="P6" s="134" t="s">
        <v>55</v>
      </c>
      <c r="Q6" s="134" t="s">
        <v>20</v>
      </c>
      <c r="R6" s="134" t="s">
        <v>56</v>
      </c>
      <c r="S6" s="134" t="s">
        <v>21</v>
      </c>
      <c r="T6" s="134" t="s">
        <v>54</v>
      </c>
      <c r="U6" s="134" t="s">
        <v>57</v>
      </c>
      <c r="V6" s="134" t="s">
        <v>22</v>
      </c>
      <c r="W6" s="134" t="s">
        <v>23</v>
      </c>
      <c r="X6" s="134" t="s">
        <v>24</v>
      </c>
    </row>
    <row r="7" spans="1:24" s="123" customFormat="1" ht="36">
      <c r="A7" s="7" t="s">
        <v>28</v>
      </c>
      <c r="B7" s="7" t="s">
        <v>29</v>
      </c>
      <c r="C7" s="125" t="s">
        <v>41</v>
      </c>
      <c r="D7" s="117" t="s">
        <v>332</v>
      </c>
      <c r="E7" s="8" t="s">
        <v>187</v>
      </c>
      <c r="F7" s="95" t="s">
        <v>323</v>
      </c>
      <c r="G7" s="8" t="s">
        <v>32</v>
      </c>
      <c r="H7" s="8" t="s">
        <v>30</v>
      </c>
      <c r="I7" s="8" t="s">
        <v>31</v>
      </c>
      <c r="J7" s="8"/>
      <c r="K7" s="8"/>
      <c r="L7" s="8" t="s">
        <v>61</v>
      </c>
      <c r="M7" s="8"/>
      <c r="N7" s="8"/>
      <c r="O7" s="7" t="s">
        <v>188</v>
      </c>
      <c r="P7" s="8" t="s">
        <v>189</v>
      </c>
      <c r="Q7" s="8" t="s">
        <v>42</v>
      </c>
      <c r="R7" s="8" t="s">
        <v>43</v>
      </c>
      <c r="S7" s="8" t="s">
        <v>44</v>
      </c>
      <c r="T7" s="8" t="s">
        <v>45</v>
      </c>
      <c r="U7" s="8" t="s">
        <v>30</v>
      </c>
      <c r="V7" s="96"/>
      <c r="W7" s="7"/>
      <c r="X7" s="7"/>
    </row>
    <row r="8" spans="1:24" s="123" customFormat="1" ht="60">
      <c r="A8" s="7" t="s">
        <v>28</v>
      </c>
      <c r="B8" s="7" t="s">
        <v>29</v>
      </c>
      <c r="C8" s="125" t="s">
        <v>41</v>
      </c>
      <c r="D8" s="117" t="s">
        <v>332</v>
      </c>
      <c r="E8" s="8" t="s">
        <v>190</v>
      </c>
      <c r="F8" s="95" t="s">
        <v>314</v>
      </c>
      <c r="G8" s="8" t="s">
        <v>32</v>
      </c>
      <c r="H8" s="8" t="s">
        <v>30</v>
      </c>
      <c r="I8" s="8" t="s">
        <v>31</v>
      </c>
      <c r="J8" s="8"/>
      <c r="K8" s="8"/>
      <c r="L8" s="8" t="s">
        <v>61</v>
      </c>
      <c r="M8" s="8"/>
      <c r="N8" s="8"/>
      <c r="O8" s="7" t="s">
        <v>188</v>
      </c>
      <c r="P8" s="8" t="s">
        <v>189</v>
      </c>
      <c r="Q8" s="8" t="s">
        <v>42</v>
      </c>
      <c r="R8" s="8" t="s">
        <v>43</v>
      </c>
      <c r="S8" s="8" t="s">
        <v>44</v>
      </c>
      <c r="T8" s="8" t="s">
        <v>45</v>
      </c>
      <c r="U8" s="8" t="s">
        <v>30</v>
      </c>
      <c r="V8" s="96"/>
      <c r="W8" s="7"/>
      <c r="X8" s="7"/>
    </row>
    <row r="9" spans="1:24" s="123" customFormat="1" ht="36">
      <c r="A9" s="7" t="s">
        <v>28</v>
      </c>
      <c r="B9" s="124" t="s">
        <v>29</v>
      </c>
      <c r="C9" s="125" t="s">
        <v>63</v>
      </c>
      <c r="D9" s="7" t="s">
        <v>333</v>
      </c>
      <c r="E9" s="8" t="s">
        <v>193</v>
      </c>
      <c r="F9" s="95" t="s">
        <v>353</v>
      </c>
      <c r="G9" s="8" t="s">
        <v>32</v>
      </c>
      <c r="H9" s="127" t="s">
        <v>31</v>
      </c>
      <c r="I9" s="127" t="s">
        <v>31</v>
      </c>
      <c r="J9" s="127"/>
      <c r="K9" s="8" t="s">
        <v>61</v>
      </c>
      <c r="L9" s="8" t="s">
        <v>61</v>
      </c>
      <c r="M9" s="8"/>
      <c r="N9" s="8"/>
      <c r="O9" s="7"/>
      <c r="P9" s="8" t="s">
        <v>189</v>
      </c>
      <c r="Q9" s="121" t="s">
        <v>162</v>
      </c>
      <c r="R9" s="127" t="s">
        <v>46</v>
      </c>
      <c r="S9" s="127" t="s">
        <v>44</v>
      </c>
      <c r="T9" s="127" t="s">
        <v>45</v>
      </c>
      <c r="U9" s="127" t="s">
        <v>31</v>
      </c>
      <c r="W9" s="7"/>
      <c r="X9" s="7"/>
    </row>
    <row r="10" spans="1:24" s="123" customFormat="1" ht="48">
      <c r="A10" s="7" t="s">
        <v>28</v>
      </c>
      <c r="B10" s="7" t="s">
        <v>29</v>
      </c>
      <c r="C10" s="125" t="s">
        <v>41</v>
      </c>
      <c r="D10" s="117" t="s">
        <v>53</v>
      </c>
      <c r="E10" s="8" t="s">
        <v>195</v>
      </c>
      <c r="F10" s="95" t="s">
        <v>191</v>
      </c>
      <c r="G10" s="8" t="s">
        <v>32</v>
      </c>
      <c r="H10" s="8" t="s">
        <v>30</v>
      </c>
      <c r="I10" s="8" t="s">
        <v>31</v>
      </c>
      <c r="J10" s="8"/>
      <c r="K10" s="8"/>
      <c r="L10" s="8" t="s">
        <v>61</v>
      </c>
      <c r="M10" s="8"/>
      <c r="N10" s="8"/>
      <c r="O10" s="7" t="s">
        <v>192</v>
      </c>
      <c r="P10" s="8" t="s">
        <v>189</v>
      </c>
      <c r="Q10" s="8" t="s">
        <v>42</v>
      </c>
      <c r="R10" s="8" t="s">
        <v>43</v>
      </c>
      <c r="S10" s="121" t="s">
        <v>72</v>
      </c>
      <c r="T10" s="8" t="s">
        <v>45</v>
      </c>
      <c r="U10" s="8" t="s">
        <v>31</v>
      </c>
      <c r="V10" s="96"/>
      <c r="W10" s="9"/>
      <c r="X10" s="9"/>
    </row>
    <row r="11" spans="1:24" s="123" customFormat="1" ht="48">
      <c r="A11" s="7" t="s">
        <v>28</v>
      </c>
      <c r="B11" s="7" t="s">
        <v>29</v>
      </c>
      <c r="C11" s="125" t="s">
        <v>40</v>
      </c>
      <c r="D11" s="117" t="s">
        <v>334</v>
      </c>
      <c r="E11" s="8" t="s">
        <v>198</v>
      </c>
      <c r="F11" s="95" t="s">
        <v>194</v>
      </c>
      <c r="G11" s="8" t="s">
        <v>32</v>
      </c>
      <c r="H11" s="8" t="s">
        <v>30</v>
      </c>
      <c r="I11" s="8" t="s">
        <v>31</v>
      </c>
      <c r="J11" s="8"/>
      <c r="K11" s="8"/>
      <c r="L11" s="8" t="s">
        <v>61</v>
      </c>
      <c r="M11" s="8"/>
      <c r="N11" s="8"/>
      <c r="O11" s="7" t="s">
        <v>320</v>
      </c>
      <c r="P11" s="8" t="s">
        <v>189</v>
      </c>
      <c r="Q11" s="8" t="s">
        <v>173</v>
      </c>
      <c r="R11" s="8" t="s">
        <v>46</v>
      </c>
      <c r="S11" s="8" t="s">
        <v>44</v>
      </c>
      <c r="T11" s="8" t="s">
        <v>45</v>
      </c>
      <c r="U11" s="8" t="s">
        <v>30</v>
      </c>
      <c r="V11" s="96"/>
      <c r="W11" s="9"/>
      <c r="X11" s="9"/>
    </row>
    <row r="12" spans="1:24" s="123" customFormat="1" ht="36">
      <c r="A12" s="7" t="s">
        <v>28</v>
      </c>
      <c r="B12" s="7" t="s">
        <v>29</v>
      </c>
      <c r="C12" s="125" t="s">
        <v>41</v>
      </c>
      <c r="D12" s="118" t="s">
        <v>51</v>
      </c>
      <c r="E12" s="8" t="s">
        <v>199</v>
      </c>
      <c r="F12" s="95" t="s">
        <v>196</v>
      </c>
      <c r="G12" s="8" t="s">
        <v>32</v>
      </c>
      <c r="H12" s="8" t="s">
        <v>30</v>
      </c>
      <c r="I12" s="8" t="s">
        <v>31</v>
      </c>
      <c r="J12" s="8" t="s">
        <v>61</v>
      </c>
      <c r="K12" s="8"/>
      <c r="L12" s="8"/>
      <c r="M12" s="8" t="s">
        <v>61</v>
      </c>
      <c r="N12" s="8"/>
      <c r="O12" s="7" t="s">
        <v>197</v>
      </c>
      <c r="P12" s="8" t="s">
        <v>189</v>
      </c>
      <c r="Q12" s="8" t="s">
        <v>42</v>
      </c>
      <c r="R12" s="8" t="s">
        <v>47</v>
      </c>
      <c r="S12" s="121" t="s">
        <v>72</v>
      </c>
      <c r="T12" s="8" t="s">
        <v>48</v>
      </c>
      <c r="U12" s="8" t="s">
        <v>31</v>
      </c>
      <c r="V12" s="96"/>
      <c r="W12" s="9"/>
      <c r="X12" s="9"/>
    </row>
    <row r="13" spans="1:24" s="123" customFormat="1" ht="48">
      <c r="A13" s="7" t="s">
        <v>28</v>
      </c>
      <c r="B13" s="7" t="s">
        <v>29</v>
      </c>
      <c r="C13" s="125" t="s">
        <v>63</v>
      </c>
      <c r="D13" s="118" t="s">
        <v>35</v>
      </c>
      <c r="E13" s="8" t="s">
        <v>200</v>
      </c>
      <c r="F13" s="95" t="s">
        <v>342</v>
      </c>
      <c r="G13" s="8" t="s">
        <v>32</v>
      </c>
      <c r="H13" s="8" t="s">
        <v>30</v>
      </c>
      <c r="I13" s="8" t="s">
        <v>31</v>
      </c>
      <c r="J13" s="8"/>
      <c r="K13" s="8"/>
      <c r="L13" s="8" t="s">
        <v>61</v>
      </c>
      <c r="M13" s="8"/>
      <c r="N13" s="8"/>
      <c r="O13" s="9"/>
      <c r="P13" s="8" t="s">
        <v>189</v>
      </c>
      <c r="Q13" s="8" t="s">
        <v>42</v>
      </c>
      <c r="R13" s="8" t="s">
        <v>47</v>
      </c>
      <c r="S13" s="121" t="s">
        <v>72</v>
      </c>
      <c r="T13" s="8" t="s">
        <v>45</v>
      </c>
      <c r="U13" s="8" t="s">
        <v>31</v>
      </c>
      <c r="V13" s="96"/>
      <c r="W13" s="9"/>
      <c r="X13" s="9"/>
    </row>
    <row r="14" spans="1:24" s="123" customFormat="1" ht="36">
      <c r="A14" s="7" t="s">
        <v>28</v>
      </c>
      <c r="B14" s="7" t="s">
        <v>29</v>
      </c>
      <c r="C14" s="125" t="s">
        <v>41</v>
      </c>
      <c r="D14" s="118" t="s">
        <v>52</v>
      </c>
      <c r="E14" s="8" t="s">
        <v>355</v>
      </c>
      <c r="F14" s="95" t="s">
        <v>343</v>
      </c>
      <c r="G14" s="8" t="s">
        <v>32</v>
      </c>
      <c r="H14" s="8" t="s">
        <v>30</v>
      </c>
      <c r="I14" s="8" t="s">
        <v>31</v>
      </c>
      <c r="J14" s="8"/>
      <c r="K14" s="8"/>
      <c r="L14" s="8" t="s">
        <v>61</v>
      </c>
      <c r="M14" s="8"/>
      <c r="N14" s="8"/>
      <c r="O14" s="9"/>
      <c r="P14" s="8" t="s">
        <v>189</v>
      </c>
      <c r="Q14" s="8" t="s">
        <v>167</v>
      </c>
      <c r="R14" s="8" t="s">
        <v>47</v>
      </c>
      <c r="S14" s="121" t="s">
        <v>72</v>
      </c>
      <c r="T14" s="8" t="s">
        <v>45</v>
      </c>
      <c r="U14" s="8" t="s">
        <v>31</v>
      </c>
      <c r="V14" s="96"/>
      <c r="W14" s="9"/>
      <c r="X14" s="9"/>
    </row>
    <row r="15" spans="1:24" s="123" customFormat="1" ht="72">
      <c r="A15" s="7" t="s">
        <v>28</v>
      </c>
      <c r="B15" s="9" t="s">
        <v>33</v>
      </c>
      <c r="C15" s="125" t="s">
        <v>63</v>
      </c>
      <c r="D15" s="118" t="s">
        <v>34</v>
      </c>
      <c r="E15" s="8" t="s">
        <v>201</v>
      </c>
      <c r="F15" s="95" t="s">
        <v>339</v>
      </c>
      <c r="G15" s="8" t="s">
        <v>32</v>
      </c>
      <c r="H15" s="8" t="s">
        <v>31</v>
      </c>
      <c r="I15" s="8" t="s">
        <v>31</v>
      </c>
      <c r="J15" s="8"/>
      <c r="K15" s="8"/>
      <c r="L15" s="8" t="s">
        <v>61</v>
      </c>
      <c r="M15" s="8"/>
      <c r="N15" s="8"/>
      <c r="O15" s="7" t="s">
        <v>202</v>
      </c>
      <c r="P15" s="8" t="s">
        <v>189</v>
      </c>
      <c r="Q15" s="8" t="s">
        <v>167</v>
      </c>
      <c r="R15" s="8" t="s">
        <v>46</v>
      </c>
      <c r="S15" s="8" t="s">
        <v>44</v>
      </c>
      <c r="T15" s="8" t="s">
        <v>45</v>
      </c>
      <c r="U15" s="8" t="s">
        <v>31</v>
      </c>
      <c r="V15" s="96"/>
      <c r="W15" s="9"/>
      <c r="X15" s="9"/>
    </row>
    <row r="16" spans="1:24" s="123" customFormat="1" ht="36">
      <c r="A16" s="7" t="s">
        <v>28</v>
      </c>
      <c r="B16" s="126" t="s">
        <v>36</v>
      </c>
      <c r="C16" s="125" t="s">
        <v>63</v>
      </c>
      <c r="D16" s="7" t="s">
        <v>324</v>
      </c>
      <c r="E16" s="8" t="s">
        <v>203</v>
      </c>
      <c r="F16" s="128" t="s">
        <v>325</v>
      </c>
      <c r="G16" s="8" t="s">
        <v>32</v>
      </c>
      <c r="H16" s="127" t="s">
        <v>31</v>
      </c>
      <c r="I16" s="127" t="s">
        <v>31</v>
      </c>
      <c r="J16" s="8" t="s">
        <v>61</v>
      </c>
      <c r="K16" s="8"/>
      <c r="L16" s="8" t="s">
        <v>61</v>
      </c>
      <c r="M16" s="8"/>
      <c r="N16" s="8"/>
      <c r="O16" s="9"/>
      <c r="P16" s="8" t="s">
        <v>189</v>
      </c>
      <c r="Q16" s="8" t="s">
        <v>42</v>
      </c>
      <c r="R16" s="8" t="s">
        <v>47</v>
      </c>
      <c r="S16" s="8" t="s">
        <v>326</v>
      </c>
      <c r="T16" s="8" t="s">
        <v>45</v>
      </c>
      <c r="U16" s="8" t="s">
        <v>31</v>
      </c>
      <c r="W16" s="9"/>
      <c r="X16" s="9"/>
    </row>
    <row r="17" spans="1:24" s="123" customFormat="1" ht="96">
      <c r="A17" s="7" t="s">
        <v>28</v>
      </c>
      <c r="B17" s="126" t="s">
        <v>36</v>
      </c>
      <c r="C17" s="125" t="s">
        <v>63</v>
      </c>
      <c r="D17" s="124" t="s">
        <v>327</v>
      </c>
      <c r="E17" s="8" t="s">
        <v>330</v>
      </c>
      <c r="F17" s="95" t="s">
        <v>257</v>
      </c>
      <c r="G17" s="8" t="s">
        <v>32</v>
      </c>
      <c r="H17" s="127" t="s">
        <v>31</v>
      </c>
      <c r="I17" s="127" t="s">
        <v>31</v>
      </c>
      <c r="J17" s="8" t="s">
        <v>61</v>
      </c>
      <c r="K17" s="8"/>
      <c r="L17" s="8" t="s">
        <v>61</v>
      </c>
      <c r="M17" s="8"/>
      <c r="N17" s="8"/>
      <c r="O17" s="9"/>
      <c r="P17" s="8" t="s">
        <v>189</v>
      </c>
      <c r="Q17" s="8" t="s">
        <v>42</v>
      </c>
      <c r="R17" s="8" t="s">
        <v>46</v>
      </c>
      <c r="S17" s="8" t="s">
        <v>44</v>
      </c>
      <c r="T17" s="8" t="s">
        <v>45</v>
      </c>
      <c r="U17" s="8" t="s">
        <v>31</v>
      </c>
      <c r="V17" s="96"/>
      <c r="W17" s="10"/>
      <c r="X17" s="129"/>
    </row>
    <row r="18" spans="1:24" s="123" customFormat="1" ht="60">
      <c r="A18" s="7" t="s">
        <v>28</v>
      </c>
      <c r="B18" s="9" t="s">
        <v>38</v>
      </c>
      <c r="C18" s="125" t="s">
        <v>41</v>
      </c>
      <c r="D18" s="118" t="s">
        <v>39</v>
      </c>
      <c r="E18" s="8" t="s">
        <v>331</v>
      </c>
      <c r="F18" s="95" t="s">
        <v>319</v>
      </c>
      <c r="G18" s="127" t="s">
        <v>328</v>
      </c>
      <c r="H18" s="8" t="s">
        <v>30</v>
      </c>
      <c r="I18" s="8" t="s">
        <v>31</v>
      </c>
      <c r="J18" s="8"/>
      <c r="K18" s="8"/>
      <c r="L18" s="8" t="s">
        <v>61</v>
      </c>
      <c r="M18" s="8"/>
      <c r="N18" s="8"/>
      <c r="O18" s="7" t="s">
        <v>68</v>
      </c>
      <c r="P18" s="8" t="s">
        <v>189</v>
      </c>
      <c r="Q18" s="8" t="s">
        <v>167</v>
      </c>
      <c r="R18" s="8" t="s">
        <v>47</v>
      </c>
      <c r="S18" s="121" t="s">
        <v>72</v>
      </c>
      <c r="T18" s="8" t="s">
        <v>45</v>
      </c>
      <c r="U18" s="8" t="s">
        <v>30</v>
      </c>
      <c r="V18" s="96" t="s">
        <v>258</v>
      </c>
      <c r="W18" s="10" t="s">
        <v>240</v>
      </c>
      <c r="X18" s="9"/>
    </row>
    <row r="19" spans="1:24" s="123" customFormat="1" ht="48">
      <c r="A19" s="7" t="s">
        <v>28</v>
      </c>
      <c r="B19" s="9" t="s">
        <v>38</v>
      </c>
      <c r="C19" s="125" t="s">
        <v>41</v>
      </c>
      <c r="D19" s="118" t="s">
        <v>39</v>
      </c>
      <c r="E19" s="8" t="s">
        <v>204</v>
      </c>
      <c r="F19" s="95" t="s">
        <v>69</v>
      </c>
      <c r="G19" s="8" t="s">
        <v>32</v>
      </c>
      <c r="H19" s="8" t="s">
        <v>30</v>
      </c>
      <c r="I19" s="8" t="s">
        <v>31</v>
      </c>
      <c r="J19" s="8"/>
      <c r="K19" s="8"/>
      <c r="L19" s="8" t="s">
        <v>61</v>
      </c>
      <c r="M19" s="8"/>
      <c r="N19" s="8"/>
      <c r="O19" s="9"/>
      <c r="P19" s="8" t="s">
        <v>189</v>
      </c>
      <c r="Q19" s="8" t="s">
        <v>42</v>
      </c>
      <c r="R19" s="8" t="s">
        <v>43</v>
      </c>
      <c r="S19" s="121" t="s">
        <v>72</v>
      </c>
      <c r="T19" s="8" t="s">
        <v>45</v>
      </c>
      <c r="U19" s="8" t="s">
        <v>31</v>
      </c>
      <c r="V19" s="96"/>
      <c r="W19" s="9"/>
      <c r="X19" s="9"/>
    </row>
    <row r="20" spans="1:24" s="123" customFormat="1" ht="48">
      <c r="A20" s="7" t="s">
        <v>58</v>
      </c>
      <c r="B20" s="9" t="s">
        <v>59</v>
      </c>
      <c r="C20" s="125" t="s">
        <v>41</v>
      </c>
      <c r="D20" s="118" t="s">
        <v>60</v>
      </c>
      <c r="E20" s="8" t="s">
        <v>205</v>
      </c>
      <c r="F20" s="95" t="s">
        <v>315</v>
      </c>
      <c r="G20" s="8" t="s">
        <v>184</v>
      </c>
      <c r="H20" s="8" t="s">
        <v>30</v>
      </c>
      <c r="I20" s="8" t="s">
        <v>31</v>
      </c>
      <c r="J20" s="8" t="s">
        <v>61</v>
      </c>
      <c r="K20" s="8"/>
      <c r="L20" s="8" t="s">
        <v>61</v>
      </c>
      <c r="M20" s="8"/>
      <c r="N20" s="8"/>
      <c r="O20" s="7" t="s">
        <v>62</v>
      </c>
      <c r="P20" s="8" t="s">
        <v>189</v>
      </c>
      <c r="Q20" s="8" t="s">
        <v>42</v>
      </c>
      <c r="R20" s="8" t="s">
        <v>47</v>
      </c>
      <c r="S20" s="8" t="s">
        <v>44</v>
      </c>
      <c r="T20" s="8" t="s">
        <v>45</v>
      </c>
      <c r="U20" s="8" t="s">
        <v>31</v>
      </c>
      <c r="V20" s="96" t="s">
        <v>345</v>
      </c>
      <c r="W20" s="10" t="s">
        <v>245</v>
      </c>
      <c r="X20" s="9"/>
    </row>
    <row r="21" spans="1:24" s="123" customFormat="1" ht="48">
      <c r="A21" s="7" t="s">
        <v>58</v>
      </c>
      <c r="B21" s="9" t="s">
        <v>59</v>
      </c>
      <c r="C21" s="125" t="s">
        <v>41</v>
      </c>
      <c r="D21" s="118" t="s">
        <v>313</v>
      </c>
      <c r="E21" s="8" t="s">
        <v>356</v>
      </c>
      <c r="F21" s="95" t="s">
        <v>65</v>
      </c>
      <c r="G21" s="8" t="s">
        <v>32</v>
      </c>
      <c r="H21" s="8" t="s">
        <v>30</v>
      </c>
      <c r="I21" s="8" t="s">
        <v>31</v>
      </c>
      <c r="J21" s="8" t="s">
        <v>61</v>
      </c>
      <c r="K21" s="8"/>
      <c r="L21" s="8"/>
      <c r="M21" s="8"/>
      <c r="N21" s="8" t="s">
        <v>61</v>
      </c>
      <c r="O21" s="9"/>
      <c r="P21" s="8" t="s">
        <v>189</v>
      </c>
      <c r="Q21" s="8" t="s">
        <v>42</v>
      </c>
      <c r="R21" s="8" t="s">
        <v>43</v>
      </c>
      <c r="S21" s="121" t="s">
        <v>44</v>
      </c>
      <c r="T21" s="8" t="s">
        <v>45</v>
      </c>
      <c r="U21" s="8" t="s">
        <v>30</v>
      </c>
      <c r="V21" s="96"/>
      <c r="W21" s="9"/>
      <c r="X21" s="9"/>
    </row>
    <row r="22" spans="1:24" s="123" customFormat="1" ht="36">
      <c r="A22" s="7" t="s">
        <v>58</v>
      </c>
      <c r="B22" s="9" t="s">
        <v>59</v>
      </c>
      <c r="C22" s="125" t="s">
        <v>40</v>
      </c>
      <c r="D22" s="117" t="s">
        <v>92</v>
      </c>
      <c r="E22" s="8" t="s">
        <v>206</v>
      </c>
      <c r="F22" s="97" t="s">
        <v>360</v>
      </c>
      <c r="G22" s="121" t="s">
        <v>32</v>
      </c>
      <c r="H22" s="121" t="s">
        <v>30</v>
      </c>
      <c r="I22" s="121" t="s">
        <v>31</v>
      </c>
      <c r="J22" s="121"/>
      <c r="K22" s="121"/>
      <c r="L22" s="121" t="s">
        <v>61</v>
      </c>
      <c r="M22" s="121"/>
      <c r="N22" s="121" t="s">
        <v>61</v>
      </c>
      <c r="O22" s="7" t="s">
        <v>110</v>
      </c>
      <c r="P22" s="8" t="s">
        <v>189</v>
      </c>
      <c r="Q22" s="121" t="s">
        <v>42</v>
      </c>
      <c r="R22" s="121" t="s">
        <v>47</v>
      </c>
      <c r="S22" s="121" t="s">
        <v>72</v>
      </c>
      <c r="T22" s="121" t="s">
        <v>45</v>
      </c>
      <c r="U22" s="121" t="s">
        <v>31</v>
      </c>
      <c r="V22" s="96"/>
      <c r="W22" s="10"/>
      <c r="X22" s="10"/>
    </row>
    <row r="23" spans="1:24" s="123" customFormat="1" ht="72">
      <c r="A23" s="7" t="s">
        <v>58</v>
      </c>
      <c r="B23" s="9" t="s">
        <v>59</v>
      </c>
      <c r="C23" s="125" t="s">
        <v>63</v>
      </c>
      <c r="D23" s="118" t="s">
        <v>313</v>
      </c>
      <c r="E23" s="8" t="s">
        <v>357</v>
      </c>
      <c r="F23" s="95" t="s">
        <v>344</v>
      </c>
      <c r="G23" s="121" t="s">
        <v>32</v>
      </c>
      <c r="H23" s="121" t="s">
        <v>31</v>
      </c>
      <c r="I23" s="121" t="s">
        <v>31</v>
      </c>
      <c r="J23" s="121" t="s">
        <v>61</v>
      </c>
      <c r="K23" s="121"/>
      <c r="L23" s="121"/>
      <c r="M23" s="121"/>
      <c r="N23" s="121"/>
      <c r="O23" s="7" t="s">
        <v>86</v>
      </c>
      <c r="P23" s="8" t="s">
        <v>189</v>
      </c>
      <c r="Q23" s="121" t="s">
        <v>87</v>
      </c>
      <c r="R23" s="121" t="s">
        <v>47</v>
      </c>
      <c r="S23" s="121" t="s">
        <v>72</v>
      </c>
      <c r="T23" s="121" t="s">
        <v>45</v>
      </c>
      <c r="U23" s="121" t="s">
        <v>31</v>
      </c>
      <c r="V23" s="96"/>
      <c r="W23" s="10"/>
      <c r="X23" s="10"/>
    </row>
    <row r="24" spans="1:24" s="123" customFormat="1" ht="36">
      <c r="A24" s="7" t="s">
        <v>58</v>
      </c>
      <c r="B24" s="9" t="s">
        <v>59</v>
      </c>
      <c r="C24" s="125" t="s">
        <v>40</v>
      </c>
      <c r="D24" s="117" t="s">
        <v>88</v>
      </c>
      <c r="E24" s="8" t="s">
        <v>207</v>
      </c>
      <c r="F24" s="95" t="s">
        <v>361</v>
      </c>
      <c r="G24" s="121" t="s">
        <v>32</v>
      </c>
      <c r="H24" s="121" t="s">
        <v>30</v>
      </c>
      <c r="I24" s="121" t="s">
        <v>31</v>
      </c>
      <c r="J24" s="121" t="s">
        <v>61</v>
      </c>
      <c r="K24" s="121" t="s">
        <v>61</v>
      </c>
      <c r="L24" s="121"/>
      <c r="M24" s="121"/>
      <c r="N24" s="121"/>
      <c r="O24" s="7" t="s">
        <v>89</v>
      </c>
      <c r="P24" s="8" t="s">
        <v>189</v>
      </c>
      <c r="Q24" s="121" t="s">
        <v>162</v>
      </c>
      <c r="R24" s="121" t="s">
        <v>47</v>
      </c>
      <c r="S24" s="121" t="s">
        <v>72</v>
      </c>
      <c r="T24" s="121" t="s">
        <v>48</v>
      </c>
      <c r="U24" s="121" t="s">
        <v>30</v>
      </c>
      <c r="V24" s="96"/>
      <c r="W24" s="10"/>
      <c r="X24" s="10"/>
    </row>
    <row r="25" spans="1:24" s="123" customFormat="1" ht="36">
      <c r="A25" s="7" t="s">
        <v>58</v>
      </c>
      <c r="B25" s="9" t="s">
        <v>59</v>
      </c>
      <c r="C25" s="125" t="s">
        <v>40</v>
      </c>
      <c r="D25" s="117" t="s">
        <v>91</v>
      </c>
      <c r="E25" s="8" t="s">
        <v>208</v>
      </c>
      <c r="F25" s="95" t="s">
        <v>347</v>
      </c>
      <c r="G25" s="121" t="s">
        <v>32</v>
      </c>
      <c r="H25" s="121" t="s">
        <v>30</v>
      </c>
      <c r="I25" s="121" t="s">
        <v>31</v>
      </c>
      <c r="J25" s="121" t="s">
        <v>61</v>
      </c>
      <c r="K25" s="121" t="s">
        <v>61</v>
      </c>
      <c r="L25" s="121"/>
      <c r="M25" s="121"/>
      <c r="N25" s="121"/>
      <c r="O25" s="7" t="s">
        <v>322</v>
      </c>
      <c r="P25" s="8" t="s">
        <v>189</v>
      </c>
      <c r="Q25" s="121" t="s">
        <v>87</v>
      </c>
      <c r="R25" s="121" t="s">
        <v>47</v>
      </c>
      <c r="S25" s="121" t="s">
        <v>72</v>
      </c>
      <c r="T25" s="121" t="s">
        <v>48</v>
      </c>
      <c r="U25" s="121" t="s">
        <v>30</v>
      </c>
      <c r="V25" s="96"/>
      <c r="W25" s="10"/>
      <c r="X25" s="10"/>
    </row>
    <row r="26" spans="1:24" s="123" customFormat="1" ht="48">
      <c r="A26" s="7" t="s">
        <v>58</v>
      </c>
      <c r="B26" s="9" t="s">
        <v>59</v>
      </c>
      <c r="C26" s="125" t="s">
        <v>41</v>
      </c>
      <c r="D26" s="118" t="s">
        <v>313</v>
      </c>
      <c r="E26" s="8" t="s">
        <v>209</v>
      </c>
      <c r="F26" s="97" t="s">
        <v>359</v>
      </c>
      <c r="G26" s="121" t="s">
        <v>32</v>
      </c>
      <c r="H26" s="121" t="s">
        <v>30</v>
      </c>
      <c r="I26" s="121" t="s">
        <v>31</v>
      </c>
      <c r="J26" s="121"/>
      <c r="K26" s="121"/>
      <c r="L26" s="121" t="s">
        <v>61</v>
      </c>
      <c r="M26" s="121"/>
      <c r="N26" s="121" t="s">
        <v>61</v>
      </c>
      <c r="O26" s="7" t="s">
        <v>93</v>
      </c>
      <c r="P26" s="8" t="s">
        <v>189</v>
      </c>
      <c r="Q26" s="121" t="s">
        <v>87</v>
      </c>
      <c r="R26" s="121" t="s">
        <v>47</v>
      </c>
      <c r="S26" s="121" t="s">
        <v>72</v>
      </c>
      <c r="T26" s="121" t="s">
        <v>45</v>
      </c>
      <c r="U26" s="121" t="s">
        <v>31</v>
      </c>
      <c r="V26" s="96"/>
      <c r="W26" s="10"/>
      <c r="X26" s="10"/>
    </row>
    <row r="27" spans="1:24" s="123" customFormat="1" ht="60">
      <c r="A27" s="7" t="s">
        <v>58</v>
      </c>
      <c r="B27" s="7" t="s">
        <v>94</v>
      </c>
      <c r="C27" s="125" t="s">
        <v>41</v>
      </c>
      <c r="D27" s="117" t="s">
        <v>95</v>
      </c>
      <c r="E27" s="8" t="s">
        <v>210</v>
      </c>
      <c r="F27" s="97" t="s">
        <v>106</v>
      </c>
      <c r="G27" s="121" t="s">
        <v>32</v>
      </c>
      <c r="H27" s="121" t="s">
        <v>31</v>
      </c>
      <c r="I27" s="121" t="s">
        <v>31</v>
      </c>
      <c r="J27" s="121" t="s">
        <v>61</v>
      </c>
      <c r="K27" s="121" t="s">
        <v>61</v>
      </c>
      <c r="L27" s="121"/>
      <c r="M27" s="121" t="s">
        <v>61</v>
      </c>
      <c r="N27" s="121"/>
      <c r="O27" s="7" t="s">
        <v>109</v>
      </c>
      <c r="P27" s="8" t="s">
        <v>189</v>
      </c>
      <c r="Q27" s="121" t="s">
        <v>167</v>
      </c>
      <c r="R27" s="121" t="s">
        <v>47</v>
      </c>
      <c r="S27" s="121" t="s">
        <v>72</v>
      </c>
      <c r="T27" s="121" t="s">
        <v>45</v>
      </c>
      <c r="U27" s="121" t="s">
        <v>31</v>
      </c>
      <c r="V27" s="96"/>
      <c r="W27" s="10"/>
      <c r="X27" s="10"/>
    </row>
    <row r="28" spans="1:24" s="123" customFormat="1" ht="60">
      <c r="A28" s="7" t="s">
        <v>58</v>
      </c>
      <c r="B28" s="9" t="s">
        <v>66</v>
      </c>
      <c r="C28" s="125" t="s">
        <v>63</v>
      </c>
      <c r="D28" s="118" t="s">
        <v>67</v>
      </c>
      <c r="E28" s="8" t="s">
        <v>211</v>
      </c>
      <c r="F28" s="95" t="s">
        <v>354</v>
      </c>
      <c r="G28" s="8" t="s">
        <v>32</v>
      </c>
      <c r="H28" s="8" t="s">
        <v>31</v>
      </c>
      <c r="I28" s="8" t="s">
        <v>31</v>
      </c>
      <c r="J28" s="8" t="s">
        <v>61</v>
      </c>
      <c r="K28" s="8"/>
      <c r="L28" s="8" t="s">
        <v>61</v>
      </c>
      <c r="M28" s="8"/>
      <c r="N28" s="8" t="s">
        <v>61</v>
      </c>
      <c r="O28" s="9" t="s">
        <v>321</v>
      </c>
      <c r="P28" s="8" t="s">
        <v>189</v>
      </c>
      <c r="Q28" s="8" t="s">
        <v>167</v>
      </c>
      <c r="R28" s="8" t="s">
        <v>47</v>
      </c>
      <c r="S28" s="8" t="s">
        <v>44</v>
      </c>
      <c r="T28" s="8" t="s">
        <v>45</v>
      </c>
      <c r="U28" s="8" t="s">
        <v>31</v>
      </c>
      <c r="V28" s="96"/>
      <c r="W28" s="9"/>
      <c r="X28" s="9"/>
    </row>
    <row r="29" spans="1:24" s="123" customFormat="1" ht="48">
      <c r="A29" s="7" t="s">
        <v>58</v>
      </c>
      <c r="B29" s="7" t="s">
        <v>70</v>
      </c>
      <c r="C29" s="125" t="s">
        <v>41</v>
      </c>
      <c r="D29" s="117" t="s">
        <v>71</v>
      </c>
      <c r="E29" s="8" t="s">
        <v>212</v>
      </c>
      <c r="F29" s="95" t="s">
        <v>346</v>
      </c>
      <c r="G29" s="121" t="s">
        <v>32</v>
      </c>
      <c r="H29" s="121" t="s">
        <v>30</v>
      </c>
      <c r="I29" s="121" t="s">
        <v>31</v>
      </c>
      <c r="J29" s="121" t="s">
        <v>61</v>
      </c>
      <c r="K29" s="121"/>
      <c r="L29" s="121" t="s">
        <v>61</v>
      </c>
      <c r="M29" s="121" t="s">
        <v>61</v>
      </c>
      <c r="N29" s="121"/>
      <c r="O29" s="7"/>
      <c r="P29" s="8" t="s">
        <v>189</v>
      </c>
      <c r="Q29" s="121" t="s">
        <v>64</v>
      </c>
      <c r="R29" s="121" t="s">
        <v>47</v>
      </c>
      <c r="S29" s="121" t="s">
        <v>72</v>
      </c>
      <c r="T29" s="121" t="s">
        <v>45</v>
      </c>
      <c r="U29" s="121" t="s">
        <v>31</v>
      </c>
      <c r="V29" s="96"/>
      <c r="W29" s="10"/>
      <c r="X29" s="10"/>
    </row>
    <row r="30" spans="1:24" s="123" customFormat="1" ht="24">
      <c r="A30" s="7" t="s">
        <v>58</v>
      </c>
      <c r="B30" s="7" t="s">
        <v>70</v>
      </c>
      <c r="C30" s="125" t="s">
        <v>41</v>
      </c>
      <c r="D30" s="117" t="s">
        <v>71</v>
      </c>
      <c r="E30" s="8" t="s">
        <v>213</v>
      </c>
      <c r="F30" s="95" t="s">
        <v>350</v>
      </c>
      <c r="G30" s="121" t="s">
        <v>32</v>
      </c>
      <c r="H30" s="121" t="s">
        <v>30</v>
      </c>
      <c r="I30" s="121" t="s">
        <v>31</v>
      </c>
      <c r="J30" s="121" t="s">
        <v>61</v>
      </c>
      <c r="K30" s="121"/>
      <c r="L30" s="121" t="s">
        <v>61</v>
      </c>
      <c r="M30" s="121" t="s">
        <v>61</v>
      </c>
      <c r="N30" s="121"/>
      <c r="O30" s="7"/>
      <c r="P30" s="8" t="s">
        <v>189</v>
      </c>
      <c r="Q30" s="121" t="s">
        <v>64</v>
      </c>
      <c r="R30" s="121" t="s">
        <v>47</v>
      </c>
      <c r="S30" s="121" t="s">
        <v>72</v>
      </c>
      <c r="T30" s="121" t="s">
        <v>45</v>
      </c>
      <c r="U30" s="121" t="s">
        <v>31</v>
      </c>
      <c r="V30" s="96"/>
      <c r="W30" s="10"/>
      <c r="X30" s="10"/>
    </row>
    <row r="31" spans="1:24" s="123" customFormat="1" ht="48">
      <c r="A31" s="7" t="s">
        <v>58</v>
      </c>
      <c r="B31" s="7" t="s">
        <v>70</v>
      </c>
      <c r="C31" s="125" t="s">
        <v>41</v>
      </c>
      <c r="D31" s="117" t="s">
        <v>73</v>
      </c>
      <c r="E31" s="8" t="s">
        <v>214</v>
      </c>
      <c r="F31" s="95" t="s">
        <v>351</v>
      </c>
      <c r="G31" s="121" t="s">
        <v>32</v>
      </c>
      <c r="H31" s="121" t="s">
        <v>30</v>
      </c>
      <c r="I31" s="121" t="s">
        <v>31</v>
      </c>
      <c r="J31" s="121" t="s">
        <v>61</v>
      </c>
      <c r="K31" s="121"/>
      <c r="L31" s="121" t="s">
        <v>61</v>
      </c>
      <c r="M31" s="121" t="s">
        <v>61</v>
      </c>
      <c r="N31" s="121"/>
      <c r="O31" s="7"/>
      <c r="P31" s="8" t="s">
        <v>189</v>
      </c>
      <c r="Q31" s="121" t="s">
        <v>64</v>
      </c>
      <c r="R31" s="121" t="s">
        <v>47</v>
      </c>
      <c r="S31" s="121" t="s">
        <v>72</v>
      </c>
      <c r="T31" s="121" t="s">
        <v>45</v>
      </c>
      <c r="U31" s="121" t="s">
        <v>31</v>
      </c>
      <c r="V31" s="96"/>
      <c r="W31" s="10"/>
      <c r="X31" s="10"/>
    </row>
    <row r="32" spans="1:24" s="123" customFormat="1" ht="36">
      <c r="A32" s="7" t="s">
        <v>58</v>
      </c>
      <c r="B32" s="7" t="s">
        <v>70</v>
      </c>
      <c r="C32" s="125" t="s">
        <v>41</v>
      </c>
      <c r="D32" s="117" t="s">
        <v>74</v>
      </c>
      <c r="E32" s="8" t="s">
        <v>215</v>
      </c>
      <c r="F32" s="95" t="s">
        <v>352</v>
      </c>
      <c r="G32" s="121" t="s">
        <v>32</v>
      </c>
      <c r="H32" s="121" t="s">
        <v>30</v>
      </c>
      <c r="I32" s="121" t="s">
        <v>31</v>
      </c>
      <c r="J32" s="121" t="s">
        <v>61</v>
      </c>
      <c r="K32" s="121"/>
      <c r="L32" s="121" t="s">
        <v>61</v>
      </c>
      <c r="M32" s="121" t="s">
        <v>61</v>
      </c>
      <c r="N32" s="121"/>
      <c r="O32" s="7"/>
      <c r="P32" s="8" t="s">
        <v>189</v>
      </c>
      <c r="Q32" s="121" t="s">
        <v>64</v>
      </c>
      <c r="R32" s="121" t="s">
        <v>47</v>
      </c>
      <c r="S32" s="121" t="s">
        <v>72</v>
      </c>
      <c r="T32" s="121" t="s">
        <v>45</v>
      </c>
      <c r="U32" s="121" t="s">
        <v>31</v>
      </c>
      <c r="V32" s="96"/>
      <c r="W32" s="10"/>
      <c r="X32" s="10"/>
    </row>
    <row r="33" spans="1:24" s="123" customFormat="1" ht="24">
      <c r="A33" s="7" t="s">
        <v>58</v>
      </c>
      <c r="B33" s="7" t="s">
        <v>70</v>
      </c>
      <c r="C33" s="125" t="s">
        <v>41</v>
      </c>
      <c r="D33" s="117" t="s">
        <v>74</v>
      </c>
      <c r="E33" s="8" t="s">
        <v>217</v>
      </c>
      <c r="F33" s="95" t="s">
        <v>216</v>
      </c>
      <c r="G33" s="121" t="s">
        <v>32</v>
      </c>
      <c r="H33" s="121" t="s">
        <v>30</v>
      </c>
      <c r="I33" s="121" t="s">
        <v>31</v>
      </c>
      <c r="J33" s="121" t="s">
        <v>61</v>
      </c>
      <c r="K33" s="121"/>
      <c r="L33" s="121" t="s">
        <v>61</v>
      </c>
      <c r="M33" s="121"/>
      <c r="N33" s="121"/>
      <c r="O33" s="7" t="s">
        <v>75</v>
      </c>
      <c r="P33" s="8" t="s">
        <v>189</v>
      </c>
      <c r="Q33" s="121" t="s">
        <v>64</v>
      </c>
      <c r="R33" s="121" t="s">
        <v>47</v>
      </c>
      <c r="S33" s="121" t="s">
        <v>72</v>
      </c>
      <c r="T33" s="121" t="s">
        <v>45</v>
      </c>
      <c r="U33" s="121" t="s">
        <v>31</v>
      </c>
      <c r="V33" s="96"/>
      <c r="W33" s="10"/>
      <c r="X33" s="10"/>
    </row>
    <row r="34" spans="1:24" s="123" customFormat="1" ht="48">
      <c r="A34" s="7" t="s">
        <v>58</v>
      </c>
      <c r="B34" s="7" t="s">
        <v>70</v>
      </c>
      <c r="C34" s="125" t="s">
        <v>41</v>
      </c>
      <c r="D34" s="117" t="s">
        <v>76</v>
      </c>
      <c r="E34" s="8" t="s">
        <v>218</v>
      </c>
      <c r="F34" s="95" t="s">
        <v>105</v>
      </c>
      <c r="G34" s="121" t="s">
        <v>32</v>
      </c>
      <c r="H34" s="121" t="s">
        <v>31</v>
      </c>
      <c r="I34" s="121" t="s">
        <v>31</v>
      </c>
      <c r="J34" s="121" t="s">
        <v>61</v>
      </c>
      <c r="K34" s="121" t="s">
        <v>61</v>
      </c>
      <c r="L34" s="121" t="s">
        <v>61</v>
      </c>
      <c r="M34" s="121"/>
      <c r="N34" s="121"/>
      <c r="O34" s="7" t="s">
        <v>77</v>
      </c>
      <c r="P34" s="8" t="s">
        <v>189</v>
      </c>
      <c r="Q34" s="121" t="s">
        <v>64</v>
      </c>
      <c r="R34" s="121" t="s">
        <v>47</v>
      </c>
      <c r="S34" s="121" t="s">
        <v>72</v>
      </c>
      <c r="T34" s="121" t="s">
        <v>45</v>
      </c>
      <c r="U34" s="121" t="s">
        <v>31</v>
      </c>
      <c r="V34" s="96"/>
      <c r="W34" s="10"/>
      <c r="X34" s="10"/>
    </row>
    <row r="35" spans="1:24" s="123" customFormat="1" ht="36">
      <c r="A35" s="7" t="s">
        <v>58</v>
      </c>
      <c r="B35" s="7" t="s">
        <v>78</v>
      </c>
      <c r="C35" s="125" t="s">
        <v>40</v>
      </c>
      <c r="D35" s="117" t="s">
        <v>79</v>
      </c>
      <c r="E35" s="8" t="s">
        <v>219</v>
      </c>
      <c r="F35" s="95" t="s">
        <v>349</v>
      </c>
      <c r="G35" s="121" t="s">
        <v>32</v>
      </c>
      <c r="H35" s="121" t="s">
        <v>30</v>
      </c>
      <c r="I35" s="121" t="s">
        <v>31</v>
      </c>
      <c r="J35" s="121" t="s">
        <v>61</v>
      </c>
      <c r="K35" s="121" t="s">
        <v>61</v>
      </c>
      <c r="L35" s="121"/>
      <c r="M35" s="121"/>
      <c r="N35" s="121" t="s">
        <v>61</v>
      </c>
      <c r="O35" s="7" t="s">
        <v>80</v>
      </c>
      <c r="P35" s="8" t="s">
        <v>189</v>
      </c>
      <c r="Q35" s="121" t="s">
        <v>162</v>
      </c>
      <c r="R35" s="121" t="s">
        <v>47</v>
      </c>
      <c r="S35" s="121" t="s">
        <v>72</v>
      </c>
      <c r="T35" s="121" t="s">
        <v>45</v>
      </c>
      <c r="U35" s="121" t="s">
        <v>30</v>
      </c>
      <c r="V35" s="96"/>
      <c r="W35" s="10"/>
      <c r="X35" s="10"/>
    </row>
    <row r="36" spans="1:24" s="123" customFormat="1" ht="36">
      <c r="A36" s="7" t="s">
        <v>58</v>
      </c>
      <c r="B36" s="7" t="s">
        <v>78</v>
      </c>
      <c r="C36" s="125" t="s">
        <v>40</v>
      </c>
      <c r="D36" s="117" t="s">
        <v>81</v>
      </c>
      <c r="E36" s="8" t="s">
        <v>221</v>
      </c>
      <c r="F36" s="95" t="s">
        <v>220</v>
      </c>
      <c r="G36" s="121" t="s">
        <v>32</v>
      </c>
      <c r="H36" s="121" t="s">
        <v>30</v>
      </c>
      <c r="I36" s="121" t="s">
        <v>31</v>
      </c>
      <c r="J36" s="121"/>
      <c r="K36" s="121" t="s">
        <v>61</v>
      </c>
      <c r="L36" s="121"/>
      <c r="M36" s="121"/>
      <c r="N36" s="121" t="s">
        <v>61</v>
      </c>
      <c r="O36" s="7" t="s">
        <v>82</v>
      </c>
      <c r="P36" s="8" t="s">
        <v>189</v>
      </c>
      <c r="Q36" s="121" t="s">
        <v>64</v>
      </c>
      <c r="R36" s="121" t="s">
        <v>47</v>
      </c>
      <c r="S36" s="121" t="s">
        <v>72</v>
      </c>
      <c r="T36" s="121" t="s">
        <v>45</v>
      </c>
      <c r="U36" s="121" t="s">
        <v>31</v>
      </c>
      <c r="V36" s="96"/>
      <c r="W36" s="10"/>
      <c r="X36" s="10"/>
    </row>
    <row r="37" spans="1:24" s="123" customFormat="1" ht="36">
      <c r="A37" s="7" t="s">
        <v>58</v>
      </c>
      <c r="B37" s="7" t="s">
        <v>78</v>
      </c>
      <c r="C37" s="125" t="s">
        <v>40</v>
      </c>
      <c r="D37" s="117" t="s">
        <v>83</v>
      </c>
      <c r="E37" s="8" t="s">
        <v>222</v>
      </c>
      <c r="F37" s="95" t="s">
        <v>348</v>
      </c>
      <c r="G37" s="121" t="s">
        <v>32</v>
      </c>
      <c r="H37" s="121" t="s">
        <v>30</v>
      </c>
      <c r="I37" s="121" t="s">
        <v>31</v>
      </c>
      <c r="J37" s="121"/>
      <c r="K37" s="121" t="s">
        <v>61</v>
      </c>
      <c r="L37" s="121"/>
      <c r="M37" s="121"/>
      <c r="N37" s="121" t="s">
        <v>61</v>
      </c>
      <c r="O37" s="7" t="s">
        <v>84</v>
      </c>
      <c r="P37" s="8" t="s">
        <v>189</v>
      </c>
      <c r="Q37" s="121" t="s">
        <v>162</v>
      </c>
      <c r="R37" s="121" t="s">
        <v>47</v>
      </c>
      <c r="S37" s="121" t="s">
        <v>72</v>
      </c>
      <c r="T37" s="121" t="s">
        <v>45</v>
      </c>
      <c r="U37" s="121" t="s">
        <v>30</v>
      </c>
      <c r="V37" s="96"/>
      <c r="W37" s="10"/>
      <c r="X37" s="10"/>
    </row>
    <row r="38" spans="1:24" s="123" customFormat="1" ht="48">
      <c r="A38" s="7" t="s">
        <v>58</v>
      </c>
      <c r="B38" s="7" t="s">
        <v>78</v>
      </c>
      <c r="C38" s="125" t="s">
        <v>40</v>
      </c>
      <c r="D38" s="117" t="s">
        <v>85</v>
      </c>
      <c r="E38" s="8" t="s">
        <v>223</v>
      </c>
      <c r="F38" s="95" t="s">
        <v>107</v>
      </c>
      <c r="G38" s="121" t="s">
        <v>32</v>
      </c>
      <c r="H38" s="121" t="s">
        <v>30</v>
      </c>
      <c r="I38" s="121" t="s">
        <v>31</v>
      </c>
      <c r="J38" s="121" t="s">
        <v>61</v>
      </c>
      <c r="K38" s="121" t="s">
        <v>61</v>
      </c>
      <c r="L38" s="121" t="s">
        <v>61</v>
      </c>
      <c r="M38" s="121"/>
      <c r="N38" s="121" t="s">
        <v>61</v>
      </c>
      <c r="O38" s="7" t="s">
        <v>77</v>
      </c>
      <c r="P38" s="8" t="s">
        <v>189</v>
      </c>
      <c r="Q38" s="121" t="s">
        <v>64</v>
      </c>
      <c r="R38" s="121" t="s">
        <v>47</v>
      </c>
      <c r="S38" s="121" t="s">
        <v>72</v>
      </c>
      <c r="T38" s="121" t="s">
        <v>45</v>
      </c>
      <c r="U38" s="121" t="s">
        <v>31</v>
      </c>
      <c r="V38" s="96"/>
      <c r="W38" s="10"/>
      <c r="X38" s="10"/>
    </row>
    <row r="39" spans="1:24" s="123" customFormat="1" ht="84">
      <c r="A39" s="7" t="s">
        <v>58</v>
      </c>
      <c r="B39" s="7" t="s">
        <v>96</v>
      </c>
      <c r="C39" s="125" t="s">
        <v>41</v>
      </c>
      <c r="D39" s="117" t="s">
        <v>97</v>
      </c>
      <c r="E39" s="8" t="s">
        <v>358</v>
      </c>
      <c r="F39" s="95" t="s">
        <v>111</v>
      </c>
      <c r="G39" s="121" t="s">
        <v>32</v>
      </c>
      <c r="H39" s="121" t="s">
        <v>31</v>
      </c>
      <c r="I39" s="121" t="s">
        <v>31</v>
      </c>
      <c r="J39" s="121" t="s">
        <v>61</v>
      </c>
      <c r="K39" s="121" t="s">
        <v>61</v>
      </c>
      <c r="L39" s="121"/>
      <c r="M39" s="121" t="s">
        <v>61</v>
      </c>
      <c r="N39" s="121"/>
      <c r="O39" s="7" t="s">
        <v>98</v>
      </c>
      <c r="P39" s="8" t="s">
        <v>189</v>
      </c>
      <c r="Q39" s="121" t="s">
        <v>87</v>
      </c>
      <c r="R39" s="121" t="s">
        <v>47</v>
      </c>
      <c r="S39" s="121" t="s">
        <v>72</v>
      </c>
      <c r="T39" s="121" t="s">
        <v>45</v>
      </c>
      <c r="U39" s="121" t="s">
        <v>31</v>
      </c>
      <c r="V39" s="96"/>
      <c r="W39" s="10"/>
      <c r="X39" s="10"/>
    </row>
    <row r="40" spans="1:24" s="123" customFormat="1" ht="36">
      <c r="A40" s="7" t="s">
        <v>58</v>
      </c>
      <c r="B40" s="7" t="s">
        <v>99</v>
      </c>
      <c r="C40" s="125" t="s">
        <v>63</v>
      </c>
      <c r="D40" s="117" t="s">
        <v>100</v>
      </c>
      <c r="E40" s="8" t="s">
        <v>224</v>
      </c>
      <c r="F40" s="95" t="s">
        <v>112</v>
      </c>
      <c r="G40" s="121" t="s">
        <v>32</v>
      </c>
      <c r="H40" s="121" t="s">
        <v>31</v>
      </c>
      <c r="I40" s="121" t="s">
        <v>31</v>
      </c>
      <c r="J40" s="121" t="s">
        <v>61</v>
      </c>
      <c r="K40" s="121"/>
      <c r="L40" s="121" t="s">
        <v>61</v>
      </c>
      <c r="M40" s="121"/>
      <c r="N40" s="121"/>
      <c r="O40" s="7" t="s">
        <v>101</v>
      </c>
      <c r="P40" s="8" t="s">
        <v>189</v>
      </c>
      <c r="Q40" s="121" t="s">
        <v>90</v>
      </c>
      <c r="R40" s="121" t="s">
        <v>47</v>
      </c>
      <c r="S40" s="121" t="s">
        <v>72</v>
      </c>
      <c r="T40" s="121" t="s">
        <v>45</v>
      </c>
      <c r="U40" s="121" t="s">
        <v>31</v>
      </c>
      <c r="V40" s="96"/>
      <c r="W40" s="10"/>
      <c r="X40" s="10"/>
    </row>
    <row r="41" spans="1:24" s="123" customFormat="1" ht="48">
      <c r="A41" s="7" t="s">
        <v>58</v>
      </c>
      <c r="B41" s="7" t="s">
        <v>102</v>
      </c>
      <c r="C41" s="125" t="s">
        <v>63</v>
      </c>
      <c r="D41" s="117" t="s">
        <v>103</v>
      </c>
      <c r="E41" s="8" t="s">
        <v>225</v>
      </c>
      <c r="F41" s="95" t="s">
        <v>108</v>
      </c>
      <c r="G41" s="121" t="s">
        <v>32</v>
      </c>
      <c r="H41" s="121" t="s">
        <v>31</v>
      </c>
      <c r="I41" s="121" t="s">
        <v>31</v>
      </c>
      <c r="J41" s="121" t="s">
        <v>61</v>
      </c>
      <c r="K41" s="121"/>
      <c r="L41" s="121"/>
      <c r="M41" s="121"/>
      <c r="N41" s="121" t="s">
        <v>61</v>
      </c>
      <c r="O41" s="7" t="s">
        <v>104</v>
      </c>
      <c r="P41" s="8" t="s">
        <v>189</v>
      </c>
      <c r="Q41" s="121" t="s">
        <v>87</v>
      </c>
      <c r="R41" s="121" t="s">
        <v>47</v>
      </c>
      <c r="S41" s="121" t="s">
        <v>72</v>
      </c>
      <c r="T41" s="121" t="s">
        <v>48</v>
      </c>
      <c r="U41" s="121" t="s">
        <v>31</v>
      </c>
      <c r="V41" s="96"/>
      <c r="W41" s="10"/>
      <c r="X41" s="10"/>
    </row>
    <row r="42" spans="1:24">
      <c r="D42" s="119"/>
    </row>
    <row r="43" spans="1:24">
      <c r="D43" s="119"/>
    </row>
  </sheetData>
  <autoFilter ref="A6:X41"/>
  <mergeCells count="4">
    <mergeCell ref="J5:N5"/>
    <mergeCell ref="P5:U5"/>
    <mergeCell ref="V5:W5"/>
    <mergeCell ref="A1:D1"/>
  </mergeCells>
  <conditionalFormatting sqref="C7:C41">
    <cfRule type="cellIs" dxfId="2" priority="1" operator="equal">
      <formula>"High"</formula>
    </cfRule>
    <cfRule type="cellIs" dxfId="1" priority="2" operator="equal">
      <formula>"Medium"</formula>
    </cfRule>
    <cfRule type="cellIs" dxfId="0" priority="3" operator="equal">
      <formula>"Low"</formula>
    </cfRule>
  </conditionalFormatting>
  <pageMargins left="0.7" right="0.7" top="0.75" bottom="0.75" header="0.3" footer="0.3"/>
  <pageSetup paperSize="9" orientation="portrait" horizont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selection activeCell="A8" sqref="A8"/>
    </sheetView>
  </sheetViews>
  <sheetFormatPr defaultRowHeight="15"/>
  <cols>
    <col min="2" max="2" width="13.85546875" bestFit="1" customWidth="1"/>
    <col min="3" max="3" width="12.28515625" customWidth="1"/>
    <col min="4" max="4" width="25.140625" hidden="1" customWidth="1"/>
    <col min="5" max="5" width="12.28515625" customWidth="1"/>
    <col min="6" max="6" width="51.85546875" customWidth="1"/>
    <col min="7" max="9" width="12.28515625" hidden="1" customWidth="1"/>
    <col min="10" max="10" width="46" customWidth="1"/>
    <col min="11" max="11" width="20.5703125" customWidth="1"/>
    <col min="12" max="12" width="12.28515625" customWidth="1"/>
  </cols>
  <sheetData>
    <row r="1" spans="1:12" ht="15.75">
      <c r="A1" s="179" t="s">
        <v>312</v>
      </c>
      <c r="B1" s="179"/>
      <c r="C1" s="179"/>
      <c r="D1" s="179"/>
    </row>
    <row r="2" spans="1:12">
      <c r="A2" s="104" t="s">
        <v>25</v>
      </c>
      <c r="B2" s="105" t="s">
        <v>234</v>
      </c>
      <c r="C2" s="106"/>
      <c r="D2" s="106"/>
    </row>
    <row r="3" spans="1:12">
      <c r="A3" s="104" t="s">
        <v>26</v>
      </c>
      <c r="B3" s="105" t="s">
        <v>256</v>
      </c>
      <c r="C3" s="106"/>
      <c r="D3" s="106"/>
    </row>
    <row r="4" spans="1:12">
      <c r="A4" s="107" t="s">
        <v>27</v>
      </c>
      <c r="B4" s="108" t="s">
        <v>49</v>
      </c>
      <c r="C4" s="106"/>
      <c r="D4" s="106"/>
    </row>
    <row r="5" spans="1:12">
      <c r="A5" s="178" t="s">
        <v>227</v>
      </c>
      <c r="B5" s="178" t="s">
        <v>228</v>
      </c>
      <c r="C5" s="178" t="s">
        <v>5</v>
      </c>
      <c r="D5" s="178" t="s">
        <v>318</v>
      </c>
      <c r="E5" s="178" t="s">
        <v>229</v>
      </c>
      <c r="F5" s="178" t="s">
        <v>230</v>
      </c>
      <c r="G5" s="178" t="s">
        <v>231</v>
      </c>
      <c r="H5" s="98" t="s">
        <v>232</v>
      </c>
      <c r="I5" s="98" t="s">
        <v>233</v>
      </c>
      <c r="J5" s="178"/>
      <c r="K5" s="178"/>
      <c r="L5" s="178"/>
    </row>
    <row r="6" spans="1:12" ht="36">
      <c r="A6" s="178"/>
      <c r="B6" s="178"/>
      <c r="C6" s="178"/>
      <c r="D6" s="178"/>
      <c r="E6" s="178"/>
      <c r="F6" s="178"/>
      <c r="G6" s="178"/>
      <c r="H6" s="98" t="s">
        <v>235</v>
      </c>
      <c r="I6" s="98" t="s">
        <v>236</v>
      </c>
      <c r="J6" s="98" t="s">
        <v>237</v>
      </c>
      <c r="K6" s="98" t="s">
        <v>238</v>
      </c>
      <c r="L6" s="98" t="s">
        <v>239</v>
      </c>
    </row>
    <row r="7" spans="1:12" ht="72" hidden="1">
      <c r="A7" s="99">
        <v>3</v>
      </c>
      <c r="B7" s="99" t="s">
        <v>28</v>
      </c>
      <c r="C7" s="103" t="s">
        <v>36</v>
      </c>
      <c r="D7" s="100" t="s">
        <v>37</v>
      </c>
      <c r="E7" s="99" t="s">
        <v>240</v>
      </c>
      <c r="F7" s="101" t="s">
        <v>248</v>
      </c>
      <c r="G7" s="99" t="s">
        <v>30</v>
      </c>
      <c r="H7" s="100" t="s">
        <v>242</v>
      </c>
      <c r="I7" s="100" t="s">
        <v>184</v>
      </c>
      <c r="J7" s="100" t="s">
        <v>249</v>
      </c>
      <c r="K7" s="100" t="s">
        <v>189</v>
      </c>
      <c r="L7" s="102"/>
    </row>
    <row r="8" spans="1:12" ht="72">
      <c r="A8" s="99">
        <v>1</v>
      </c>
      <c r="B8" s="99" t="s">
        <v>28</v>
      </c>
      <c r="C8" s="103" t="s">
        <v>38</v>
      </c>
      <c r="D8" s="103" t="s">
        <v>39</v>
      </c>
      <c r="E8" s="99" t="s">
        <v>240</v>
      </c>
      <c r="F8" s="103" t="s">
        <v>246</v>
      </c>
      <c r="G8" s="99"/>
      <c r="H8" s="100" t="s">
        <v>242</v>
      </c>
      <c r="I8" s="100" t="s">
        <v>183</v>
      </c>
      <c r="J8" s="100" t="s">
        <v>247</v>
      </c>
      <c r="K8" s="100" t="s">
        <v>189</v>
      </c>
      <c r="L8" s="102" t="s">
        <v>340</v>
      </c>
    </row>
    <row r="9" spans="1:12" ht="36" hidden="1">
      <c r="A9" s="99">
        <v>1</v>
      </c>
      <c r="B9" s="99" t="s">
        <v>28</v>
      </c>
      <c r="C9" s="103" t="s">
        <v>38</v>
      </c>
      <c r="D9" s="100" t="s">
        <v>50</v>
      </c>
      <c r="E9" s="99" t="s">
        <v>245</v>
      </c>
      <c r="F9" s="101" t="s">
        <v>241</v>
      </c>
      <c r="G9" s="99"/>
      <c r="H9" s="100" t="s">
        <v>242</v>
      </c>
      <c r="I9" s="100" t="s">
        <v>183</v>
      </c>
      <c r="J9" s="100" t="s">
        <v>243</v>
      </c>
      <c r="K9" s="100" t="s">
        <v>189</v>
      </c>
      <c r="L9" s="102" t="s">
        <v>244</v>
      </c>
    </row>
    <row r="10" spans="1:12" ht="36">
      <c r="A10" s="99">
        <v>2</v>
      </c>
      <c r="B10" s="99" t="s">
        <v>58</v>
      </c>
      <c r="C10" s="103" t="s">
        <v>59</v>
      </c>
      <c r="D10" s="103" t="s">
        <v>60</v>
      </c>
      <c r="E10" s="99" t="s">
        <v>245</v>
      </c>
      <c r="F10" s="101" t="s">
        <v>251</v>
      </c>
      <c r="G10" s="9" t="s">
        <v>30</v>
      </c>
      <c r="H10" s="100" t="s">
        <v>252</v>
      </c>
      <c r="I10" s="100" t="s">
        <v>184</v>
      </c>
      <c r="J10" s="100" t="s">
        <v>253</v>
      </c>
      <c r="K10" s="100" t="s">
        <v>189</v>
      </c>
      <c r="L10" s="102" t="s">
        <v>341</v>
      </c>
    </row>
    <row r="11" spans="1:12" ht="36" hidden="1">
      <c r="A11" s="99">
        <v>4</v>
      </c>
      <c r="B11" s="99" t="s">
        <v>58</v>
      </c>
      <c r="C11" s="7" t="s">
        <v>226</v>
      </c>
      <c r="D11" s="103" t="s">
        <v>317</v>
      </c>
      <c r="E11" s="99" t="s">
        <v>250</v>
      </c>
      <c r="F11" s="96" t="s">
        <v>316</v>
      </c>
      <c r="G11" s="99" t="s">
        <v>31</v>
      </c>
      <c r="H11" s="100" t="s">
        <v>252</v>
      </c>
      <c r="I11" s="100" t="s">
        <v>183</v>
      </c>
      <c r="J11" s="100"/>
      <c r="K11" s="100"/>
      <c r="L11" s="102"/>
    </row>
  </sheetData>
  <mergeCells count="9">
    <mergeCell ref="F5:F6"/>
    <mergeCell ref="G5:G6"/>
    <mergeCell ref="J5:L5"/>
    <mergeCell ref="A1:D1"/>
    <mergeCell ref="A5:A6"/>
    <mergeCell ref="B5:B6"/>
    <mergeCell ref="C5:C6"/>
    <mergeCell ref="D5:D6"/>
    <mergeCell ref="E5:E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7"/>
  <sheetViews>
    <sheetView showGridLines="0" workbookViewId="0"/>
  </sheetViews>
  <sheetFormatPr defaultColWidth="0" defaultRowHeight="12.75" zeroHeight="1"/>
  <cols>
    <col min="1" max="1" width="4.5703125" style="33" customWidth="1"/>
    <col min="2" max="2" width="20.5703125" style="33" customWidth="1"/>
    <col min="3" max="3" width="65.5703125" style="33" customWidth="1"/>
    <col min="4" max="4" width="6.140625" style="33" customWidth="1"/>
    <col min="5" max="5" width="34.42578125" style="33" customWidth="1"/>
    <col min="6" max="6" width="45.28515625" style="33" bestFit="1" customWidth="1"/>
    <col min="7" max="7" width="5.85546875" style="33" customWidth="1"/>
    <col min="8" max="16384" width="0" style="33" hidden="1"/>
  </cols>
  <sheetData>
    <row r="1" spans="2:6"/>
    <row r="2" spans="2:6"/>
    <row r="3" spans="2:6" ht="27" customHeight="1">
      <c r="B3" s="34" t="s">
        <v>120</v>
      </c>
      <c r="C3" s="34" t="s">
        <v>121</v>
      </c>
      <c r="D3" s="35"/>
      <c r="E3" s="34" t="s">
        <v>122</v>
      </c>
      <c r="F3" s="34" t="s">
        <v>123</v>
      </c>
    </row>
    <row r="4" spans="2:6" ht="46.5" customHeight="1">
      <c r="B4" s="36" t="s">
        <v>124</v>
      </c>
      <c r="C4" s="37" t="s">
        <v>125</v>
      </c>
      <c r="D4" s="35"/>
      <c r="E4" s="36" t="s">
        <v>14</v>
      </c>
      <c r="F4" s="37" t="s">
        <v>126</v>
      </c>
    </row>
    <row r="5" spans="2:6" ht="46.5" customHeight="1">
      <c r="B5" s="36" t="s">
        <v>127</v>
      </c>
      <c r="C5" s="37" t="s">
        <v>128</v>
      </c>
      <c r="D5" s="35"/>
      <c r="E5" s="36" t="s">
        <v>129</v>
      </c>
      <c r="F5" s="37" t="s">
        <v>130</v>
      </c>
    </row>
    <row r="6" spans="2:6" ht="46.5" customHeight="1">
      <c r="B6" s="36" t="s">
        <v>7</v>
      </c>
      <c r="C6" s="37" t="s">
        <v>131</v>
      </c>
      <c r="D6" s="35"/>
      <c r="E6" s="36" t="s">
        <v>16</v>
      </c>
      <c r="F6" s="37" t="s">
        <v>132</v>
      </c>
    </row>
    <row r="7" spans="2:6" ht="53.25" customHeight="1">
      <c r="B7" s="36" t="s">
        <v>8</v>
      </c>
      <c r="C7" s="37" t="s">
        <v>133</v>
      </c>
      <c r="D7" s="35"/>
      <c r="E7" s="36" t="s">
        <v>134</v>
      </c>
      <c r="F7" s="37" t="s">
        <v>135</v>
      </c>
    </row>
    <row r="8" spans="2:6" ht="57.75" customHeight="1">
      <c r="B8" s="36" t="s">
        <v>9</v>
      </c>
      <c r="C8" s="37" t="s">
        <v>136</v>
      </c>
      <c r="D8" s="35"/>
      <c r="E8" s="36" t="s">
        <v>18</v>
      </c>
      <c r="F8" s="37" t="s">
        <v>137</v>
      </c>
    </row>
    <row r="9" spans="2:6" ht="25.5">
      <c r="B9" s="36" t="s">
        <v>10</v>
      </c>
      <c r="C9" s="38" t="s">
        <v>138</v>
      </c>
      <c r="D9" s="35"/>
      <c r="E9" s="35"/>
      <c r="F9" s="35"/>
    </row>
    <row r="10" spans="2:6" ht="38.25">
      <c r="B10" s="36" t="s">
        <v>11</v>
      </c>
      <c r="C10" s="38" t="s">
        <v>139</v>
      </c>
      <c r="D10" s="35"/>
      <c r="E10" s="34" t="s">
        <v>140</v>
      </c>
      <c r="F10" s="34" t="s">
        <v>141</v>
      </c>
    </row>
    <row r="11" spans="2:6" ht="25.5">
      <c r="B11" s="37" t="s">
        <v>142</v>
      </c>
      <c r="C11" s="39" t="s">
        <v>143</v>
      </c>
      <c r="D11" s="35"/>
      <c r="E11" s="37" t="s">
        <v>144</v>
      </c>
      <c r="F11" s="37" t="s">
        <v>145</v>
      </c>
    </row>
    <row r="12" spans="2:6" ht="127.5">
      <c r="B12" s="36" t="s">
        <v>19</v>
      </c>
      <c r="C12" s="38" t="s">
        <v>146</v>
      </c>
      <c r="D12" s="35"/>
      <c r="E12" s="37" t="s">
        <v>147</v>
      </c>
      <c r="F12" s="37" t="s">
        <v>148</v>
      </c>
    </row>
    <row r="13" spans="2:6" ht="25.5">
      <c r="B13" s="40"/>
      <c r="C13" s="41"/>
      <c r="D13" s="35"/>
      <c r="E13" s="37" t="s">
        <v>149</v>
      </c>
      <c r="F13" s="37" t="s">
        <v>150</v>
      </c>
    </row>
    <row r="14" spans="2:6">
      <c r="B14" s="40"/>
      <c r="C14" s="41"/>
    </row>
    <row r="15" spans="2:6">
      <c r="B15" s="40"/>
      <c r="C15" s="41"/>
    </row>
    <row r="16" spans="2:6"/>
    <row r="17"/>
    <row r="18"/>
    <row r="19"/>
    <row r="20"/>
    <row r="21"/>
    <row r="22"/>
    <row r="23"/>
    <row r="24"/>
    <row r="25"/>
    <row r="26"/>
    <row r="27"/>
    <row r="28"/>
    <row r="29"/>
    <row r="30"/>
    <row r="31"/>
    <row r="32"/>
    <row r="33"/>
    <row r="34"/>
    <row r="35"/>
    <row r="36"/>
    <row r="37"/>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9"/>
  <sheetViews>
    <sheetView topLeftCell="A7" workbookViewId="0">
      <selection activeCell="A26" sqref="A26"/>
    </sheetView>
  </sheetViews>
  <sheetFormatPr defaultRowHeight="12.75"/>
  <cols>
    <col min="1" max="1" width="19.85546875" style="33" bestFit="1" customWidth="1"/>
    <col min="2" max="2" width="110.85546875" style="57" bestFit="1" customWidth="1"/>
    <col min="3" max="16384" width="9.140625" style="33"/>
  </cols>
  <sheetData>
    <row r="2" spans="1:14">
      <c r="A2" s="42" t="s">
        <v>151</v>
      </c>
      <c r="B2" s="43"/>
      <c r="C2" s="44"/>
      <c r="D2" s="45"/>
      <c r="E2" s="44"/>
      <c r="F2" s="45"/>
      <c r="G2" s="44"/>
      <c r="H2" s="46"/>
      <c r="I2" s="47"/>
      <c r="J2" s="47"/>
      <c r="K2" s="48"/>
      <c r="L2" s="48"/>
      <c r="M2" s="49"/>
      <c r="N2" s="49"/>
    </row>
    <row r="3" spans="1:14" ht="25.5">
      <c r="A3" s="50" t="s">
        <v>152</v>
      </c>
      <c r="B3" s="51" t="s">
        <v>153</v>
      </c>
      <c r="C3" s="44"/>
      <c r="D3" s="45"/>
      <c r="E3" s="44"/>
      <c r="F3" s="45"/>
      <c r="G3" s="44"/>
      <c r="H3" s="46"/>
      <c r="I3" s="52"/>
      <c r="J3" s="52"/>
      <c r="K3" s="53"/>
      <c r="L3" s="53"/>
      <c r="M3" s="49"/>
      <c r="N3" s="49"/>
    </row>
    <row r="4" spans="1:14" ht="25.5">
      <c r="A4" s="50" t="s">
        <v>154</v>
      </c>
      <c r="B4" s="51" t="s">
        <v>155</v>
      </c>
      <c r="C4" s="44"/>
      <c r="D4" s="45"/>
      <c r="E4" s="44"/>
      <c r="F4" s="45"/>
      <c r="G4" s="44"/>
      <c r="H4" s="46"/>
      <c r="I4" s="52"/>
      <c r="J4" s="52"/>
      <c r="K4" s="53"/>
      <c r="L4" s="53"/>
      <c r="M4" s="49"/>
      <c r="N4" s="49"/>
    </row>
    <row r="5" spans="1:14" ht="25.5">
      <c r="A5" s="50" t="s">
        <v>156</v>
      </c>
      <c r="B5" s="51" t="s">
        <v>157</v>
      </c>
    </row>
    <row r="6" spans="1:14">
      <c r="A6" s="54"/>
      <c r="B6" s="55"/>
    </row>
    <row r="7" spans="1:14">
      <c r="A7" s="42" t="s">
        <v>158</v>
      </c>
      <c r="B7" s="43"/>
    </row>
    <row r="8" spans="1:14">
      <c r="A8" s="51" t="s">
        <v>45</v>
      </c>
      <c r="B8" s="51" t="s">
        <v>159</v>
      </c>
    </row>
    <row r="9" spans="1:14">
      <c r="A9" s="51" t="s">
        <v>48</v>
      </c>
      <c r="B9" s="51" t="s">
        <v>160</v>
      </c>
    </row>
    <row r="10" spans="1:14">
      <c r="A10" s="54"/>
      <c r="B10" s="55"/>
    </row>
    <row r="11" spans="1:14">
      <c r="A11" s="54"/>
      <c r="B11" s="55"/>
    </row>
    <row r="12" spans="1:14">
      <c r="A12" s="42" t="s">
        <v>161</v>
      </c>
      <c r="B12" s="43"/>
    </row>
    <row r="13" spans="1:14">
      <c r="A13" s="50" t="s">
        <v>162</v>
      </c>
      <c r="B13" s="51" t="s">
        <v>163</v>
      </c>
    </row>
    <row r="14" spans="1:14">
      <c r="A14" s="50" t="s">
        <v>164</v>
      </c>
      <c r="B14" s="51" t="s">
        <v>165</v>
      </c>
    </row>
    <row r="15" spans="1:14">
      <c r="A15" s="50" t="s">
        <v>64</v>
      </c>
      <c r="B15" s="51" t="s">
        <v>166</v>
      </c>
    </row>
    <row r="16" spans="1:14">
      <c r="A16" s="50" t="s">
        <v>167</v>
      </c>
      <c r="B16" s="51" t="s">
        <v>168</v>
      </c>
    </row>
    <row r="17" spans="1:2">
      <c r="A17" s="50" t="s">
        <v>169</v>
      </c>
      <c r="B17" s="51" t="s">
        <v>170</v>
      </c>
    </row>
    <row r="18" spans="1:2">
      <c r="A18" s="50" t="s">
        <v>171</v>
      </c>
      <c r="B18" s="51" t="s">
        <v>172</v>
      </c>
    </row>
    <row r="19" spans="1:2">
      <c r="A19" s="50" t="s">
        <v>173</v>
      </c>
      <c r="B19" s="51" t="s">
        <v>174</v>
      </c>
    </row>
    <row r="20" spans="1:2">
      <c r="A20" s="50" t="s">
        <v>175</v>
      </c>
      <c r="B20" s="51" t="s">
        <v>176</v>
      </c>
    </row>
    <row r="21" spans="1:2">
      <c r="A21" s="50" t="s">
        <v>42</v>
      </c>
      <c r="B21" s="51" t="s">
        <v>177</v>
      </c>
    </row>
    <row r="22" spans="1:2">
      <c r="A22" s="54"/>
      <c r="B22" s="55"/>
    </row>
    <row r="23" spans="1:2" ht="18" customHeight="1">
      <c r="A23" s="42" t="s">
        <v>178</v>
      </c>
      <c r="B23" s="43"/>
    </row>
    <row r="24" spans="1:2" ht="25.5">
      <c r="A24" s="50" t="s">
        <v>30</v>
      </c>
      <c r="B24" s="51" t="s">
        <v>179</v>
      </c>
    </row>
    <row r="25" spans="1:2" ht="25.5">
      <c r="A25" s="50" t="s">
        <v>31</v>
      </c>
      <c r="B25" s="51" t="s">
        <v>180</v>
      </c>
    </row>
    <row r="27" spans="1:2" ht="14.25">
      <c r="A27" s="180" t="s">
        <v>181</v>
      </c>
      <c r="B27" s="56" t="s">
        <v>182</v>
      </c>
    </row>
    <row r="28" spans="1:2" ht="14.25">
      <c r="A28" s="181"/>
      <c r="B28" s="56" t="s">
        <v>183</v>
      </c>
    </row>
    <row r="29" spans="1:2" ht="14.25">
      <c r="A29" s="182"/>
      <c r="B29" s="56" t="s">
        <v>184</v>
      </c>
    </row>
  </sheetData>
  <mergeCells count="1">
    <mergeCell ref="A27:A29"/>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showGridLines="0" workbookViewId="0">
      <selection activeCell="B4" sqref="B4:F23"/>
    </sheetView>
  </sheetViews>
  <sheetFormatPr defaultRowHeight="12"/>
  <cols>
    <col min="1" max="1" width="2.42578125" style="58" customWidth="1"/>
    <col min="2" max="2" width="26.42578125" style="58" customWidth="1"/>
    <col min="3" max="3" width="14.42578125" style="58" customWidth="1"/>
    <col min="4" max="4" width="15.42578125" style="58" customWidth="1"/>
    <col min="5" max="5" width="15.28515625" style="58" customWidth="1"/>
    <col min="6" max="6" width="18.5703125" style="58" customWidth="1"/>
    <col min="7" max="7" width="2.42578125" style="58" customWidth="1"/>
    <col min="8" max="16384" width="9.140625" style="58"/>
  </cols>
  <sheetData>
    <row r="1" spans="1:7">
      <c r="A1" s="183" t="s">
        <v>118</v>
      </c>
      <c r="B1" s="183"/>
      <c r="C1" s="183"/>
      <c r="D1" s="183"/>
      <c r="E1" s="183"/>
      <c r="F1" s="183"/>
      <c r="G1" s="183"/>
    </row>
    <row r="2" spans="1:7">
      <c r="B2" s="59"/>
      <c r="C2" s="59"/>
      <c r="D2" s="59"/>
      <c r="E2" s="59"/>
      <c r="F2" s="59"/>
    </row>
    <row r="3" spans="1:7" ht="12.75" thickBot="1">
      <c r="A3" s="60"/>
      <c r="B3" s="60"/>
      <c r="C3" s="60"/>
      <c r="D3" s="60"/>
      <c r="E3" s="60"/>
      <c r="F3" s="60"/>
      <c r="G3" s="60"/>
    </row>
    <row r="4" spans="1:7" ht="12" customHeight="1">
      <c r="A4" s="60"/>
      <c r="B4" s="184" t="s">
        <v>254</v>
      </c>
      <c r="C4" s="185"/>
      <c r="D4" s="185"/>
      <c r="E4" s="185"/>
      <c r="F4" s="186"/>
      <c r="G4" s="60"/>
    </row>
    <row r="5" spans="1:7">
      <c r="A5" s="60"/>
      <c r="B5" s="187"/>
      <c r="C5" s="188"/>
      <c r="D5" s="188"/>
      <c r="E5" s="188"/>
      <c r="F5" s="189"/>
      <c r="G5" s="60"/>
    </row>
    <row r="6" spans="1:7">
      <c r="A6" s="60"/>
      <c r="B6" s="187"/>
      <c r="C6" s="188"/>
      <c r="D6" s="188"/>
      <c r="E6" s="188"/>
      <c r="F6" s="189"/>
      <c r="G6" s="60"/>
    </row>
    <row r="7" spans="1:7">
      <c r="A7" s="60"/>
      <c r="B7" s="187"/>
      <c r="C7" s="188"/>
      <c r="D7" s="188"/>
      <c r="E7" s="188"/>
      <c r="F7" s="189"/>
      <c r="G7" s="60"/>
    </row>
    <row r="8" spans="1:7">
      <c r="A8" s="60"/>
      <c r="B8" s="187"/>
      <c r="C8" s="188"/>
      <c r="D8" s="188"/>
      <c r="E8" s="188"/>
      <c r="F8" s="189"/>
      <c r="G8" s="60"/>
    </row>
    <row r="9" spans="1:7">
      <c r="A9" s="60"/>
      <c r="B9" s="187"/>
      <c r="C9" s="188"/>
      <c r="D9" s="188"/>
      <c r="E9" s="188"/>
      <c r="F9" s="189"/>
      <c r="G9" s="60"/>
    </row>
    <row r="10" spans="1:7">
      <c r="A10" s="60"/>
      <c r="B10" s="187"/>
      <c r="C10" s="188"/>
      <c r="D10" s="188"/>
      <c r="E10" s="188"/>
      <c r="F10" s="189"/>
      <c r="G10" s="60"/>
    </row>
    <row r="11" spans="1:7">
      <c r="A11" s="60"/>
      <c r="B11" s="187"/>
      <c r="C11" s="188"/>
      <c r="D11" s="188"/>
      <c r="E11" s="188"/>
      <c r="F11" s="189"/>
      <c r="G11" s="60"/>
    </row>
    <row r="12" spans="1:7">
      <c r="A12" s="60"/>
      <c r="B12" s="187"/>
      <c r="C12" s="188"/>
      <c r="D12" s="188"/>
      <c r="E12" s="188"/>
      <c r="F12" s="189"/>
      <c r="G12" s="60"/>
    </row>
    <row r="13" spans="1:7">
      <c r="A13" s="60"/>
      <c r="B13" s="187"/>
      <c r="C13" s="188"/>
      <c r="D13" s="188"/>
      <c r="E13" s="188"/>
      <c r="F13" s="189"/>
      <c r="G13" s="60"/>
    </row>
    <row r="14" spans="1:7">
      <c r="A14" s="60"/>
      <c r="B14" s="187"/>
      <c r="C14" s="188"/>
      <c r="D14" s="188"/>
      <c r="E14" s="188"/>
      <c r="F14" s="189"/>
      <c r="G14" s="60"/>
    </row>
    <row r="15" spans="1:7">
      <c r="A15" s="60"/>
      <c r="B15" s="187"/>
      <c r="C15" s="188"/>
      <c r="D15" s="188"/>
      <c r="E15" s="188"/>
      <c r="F15" s="189"/>
      <c r="G15" s="60"/>
    </row>
    <row r="16" spans="1:7">
      <c r="A16" s="60"/>
      <c r="B16" s="187"/>
      <c r="C16" s="188"/>
      <c r="D16" s="188"/>
      <c r="E16" s="188"/>
      <c r="F16" s="189"/>
      <c r="G16" s="60"/>
    </row>
    <row r="17" spans="1:7">
      <c r="A17" s="60"/>
      <c r="B17" s="187"/>
      <c r="C17" s="188"/>
      <c r="D17" s="188"/>
      <c r="E17" s="188"/>
      <c r="F17" s="189"/>
      <c r="G17" s="60"/>
    </row>
    <row r="18" spans="1:7">
      <c r="A18" s="60"/>
      <c r="B18" s="187"/>
      <c r="C18" s="188"/>
      <c r="D18" s="188"/>
      <c r="E18" s="188"/>
      <c r="F18" s="189"/>
      <c r="G18" s="60"/>
    </row>
    <row r="19" spans="1:7">
      <c r="A19" s="60"/>
      <c r="B19" s="187"/>
      <c r="C19" s="188"/>
      <c r="D19" s="188"/>
      <c r="E19" s="188"/>
      <c r="F19" s="189"/>
      <c r="G19" s="60"/>
    </row>
    <row r="20" spans="1:7">
      <c r="A20" s="60"/>
      <c r="B20" s="187"/>
      <c r="C20" s="188"/>
      <c r="D20" s="188"/>
      <c r="E20" s="188"/>
      <c r="F20" s="189"/>
      <c r="G20" s="60"/>
    </row>
    <row r="21" spans="1:7">
      <c r="A21" s="60"/>
      <c r="B21" s="187"/>
      <c r="C21" s="188"/>
      <c r="D21" s="188"/>
      <c r="E21" s="188"/>
      <c r="F21" s="189"/>
      <c r="G21" s="60"/>
    </row>
    <row r="22" spans="1:7">
      <c r="A22" s="60"/>
      <c r="B22" s="187"/>
      <c r="C22" s="188"/>
      <c r="D22" s="188"/>
      <c r="E22" s="188"/>
      <c r="F22" s="189"/>
      <c r="G22" s="60"/>
    </row>
    <row r="23" spans="1:7" ht="12.75" thickBot="1">
      <c r="A23" s="60"/>
      <c r="B23" s="190"/>
      <c r="C23" s="191"/>
      <c r="D23" s="191"/>
      <c r="E23" s="191"/>
      <c r="F23" s="192"/>
      <c r="G23" s="60"/>
    </row>
    <row r="24" spans="1:7">
      <c r="A24" s="60"/>
      <c r="B24" s="61"/>
      <c r="C24" s="61"/>
      <c r="D24" s="61"/>
      <c r="E24" s="61"/>
      <c r="F24" s="61"/>
      <c r="G24" s="60"/>
    </row>
    <row r="25" spans="1:7">
      <c r="B25" s="62"/>
      <c r="C25" s="62"/>
      <c r="D25" s="62"/>
      <c r="E25" s="62"/>
      <c r="F25" s="62"/>
    </row>
    <row r="26" spans="1:7">
      <c r="B26" s="62"/>
      <c r="C26" s="62"/>
      <c r="D26" s="62"/>
      <c r="E26" s="62"/>
      <c r="F26" s="62"/>
    </row>
    <row r="27" spans="1:7">
      <c r="B27" s="63"/>
      <c r="C27" s="63"/>
      <c r="D27" s="63"/>
      <c r="E27" s="63"/>
      <c r="F27" s="63"/>
    </row>
    <row r="28" spans="1:7">
      <c r="B28" s="63"/>
      <c r="C28" s="63"/>
      <c r="D28" s="63"/>
      <c r="E28" s="63"/>
      <c r="F28" s="63"/>
    </row>
  </sheetData>
  <mergeCells count="2">
    <mergeCell ref="A1:G1"/>
    <mergeCell ref="B4:F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Page</vt:lpstr>
      <vt:lpstr>Index</vt:lpstr>
      <vt:lpstr>GL Codes Covered</vt:lpstr>
      <vt:lpstr>RACM</vt:lpstr>
      <vt:lpstr>Deficiency Tracker</vt:lpstr>
      <vt:lpstr>Key Definitions_1</vt:lpstr>
      <vt:lpstr>Key Definitions_2</vt:lpstr>
      <vt:lpstr>Disclaimer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2016-02-08T17:24:41Z</dcterms:modified>
</cp:coreProperties>
</file>
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06"/>
  <workbookPr defaultThemeVersion="124226"/>
  <mc:AlternateContent xmlns:mc="http://schemas.openxmlformats.org/markup-compatibility/2006">
    <mc:Choice Requires="x15">
      <x15ac:absPath xmlns:x15ac="http://schemas.microsoft.com/office/spreadsheetml/2010/11/ac" url="C:\Users\anshul.shukla\Documents\EY\Audit\Utkal\Process_Level_Controls\UAIL_Production\"/>
    </mc:Choice>
  </mc:AlternateContent>
  <xr:revisionPtr revIDLastSave="4" documentId="11_7D3546FDF105BBD3F782D3023EDBED66CDF2DAF4" xr6:coauthVersionLast="47" xr6:coauthVersionMax="47" xr10:uidLastSave="{97F9983C-0BEA-4E57-A3EB-48A7EEFB9F71}"/>
  <bookViews>
    <workbookView xWindow="480" yWindow="240" windowWidth="17520" windowHeight="9150" tabRatio="711" activeTab="3" xr2:uid="{00000000-000D-0000-FFFF-FFFF00000000}"/>
  </bookViews>
  <sheets>
    <sheet name="Cover Page" sheetId="10" r:id="rId1"/>
    <sheet name="Index" sheetId="14" r:id="rId2"/>
    <sheet name="Coverage_Map" sheetId="12" r:id="rId3"/>
    <sheet name="RACM" sheetId="7" r:id="rId4"/>
    <sheet name="Internal Control Improvements" sheetId="13" r:id="rId5"/>
    <sheet name="Notes" sheetId="8" state="hidden" r:id="rId6"/>
    <sheet name="Disclaimer" sheetId="9" r:id="rId7"/>
  </sheets>
  <externalReferences>
    <externalReference r:id="rId8"/>
  </externalReferences>
  <definedNames>
    <definedName name="_xlnm._FilterDatabase" localSheetId="3" hidden="1">RACM!$A$6:$AA$29</definedName>
    <definedName name="_xlnm._FilterDatabase" localSheetId="2" hidden="1">Coverage_Map!$A$5:$M$19</definedName>
    <definedName name="AS2DocOpenMode" hidden="1">"AS2DocumentEdit"</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4" l="1"/>
  <c r="C14" i="14" s="1"/>
  <c r="C16" i="14" s="1"/>
  <c r="M6" i="12" l="1"/>
  <c r="E3" i="12"/>
  <c r="E2" i="12"/>
</calcChain>
</file>

<file path=xl/sharedStrings.xml><?xml version="1.0" encoding="utf-8"?>
<sst xmlns="http://schemas.openxmlformats.org/spreadsheetml/2006/main" count="764" uniqueCount="332">
  <si>
    <t>Process: Production</t>
  </si>
  <si>
    <t>Updated: 6th February, 2016</t>
  </si>
  <si>
    <t>INDEX</t>
  </si>
  <si>
    <t>Sr.No.</t>
  </si>
  <si>
    <t>Particulars</t>
  </si>
  <si>
    <t>Coverage Map</t>
  </si>
  <si>
    <t>Coverage Map '!A1</t>
  </si>
  <si>
    <t>Risk Assessment and Control Matrix (RACM)</t>
  </si>
  <si>
    <t>RACM'!A1</t>
  </si>
  <si>
    <t>Internal Control Improvement</t>
  </si>
  <si>
    <t>Disclaimer</t>
  </si>
  <si>
    <t>Disclaimer'!A1</t>
  </si>
  <si>
    <t>Quantitative Criteria</t>
  </si>
  <si>
    <t>INR</t>
  </si>
  <si>
    <r>
      <t xml:space="preserve">Threshold %
</t>
    </r>
    <r>
      <rPr>
        <b/>
        <i/>
        <sz val="8"/>
        <rFont val="EYInterstate Light"/>
      </rPr>
      <t>(Input % Threshold)</t>
    </r>
  </si>
  <si>
    <t>Materiality Threshold</t>
  </si>
  <si>
    <t>Final Threshold (Min/ Max or Average of the 2)</t>
  </si>
  <si>
    <t>Criteria for Final Threshold -----&gt;</t>
  </si>
  <si>
    <t>Minimum</t>
  </si>
  <si>
    <t>Revenue</t>
  </si>
  <si>
    <t>LBT</t>
  </si>
  <si>
    <t>Business Cylce</t>
  </si>
  <si>
    <t>IFC - Suggested Scope</t>
  </si>
  <si>
    <t>GL Code</t>
  </si>
  <si>
    <t>Balance Sheet / Income Statement</t>
  </si>
  <si>
    <t>Consolidated</t>
  </si>
  <si>
    <t>Amount in Cr</t>
  </si>
  <si>
    <t>Account Caption to be considered?
(Quantitative Factors)</t>
  </si>
  <si>
    <t>Size and Composition  (A)</t>
  </si>
  <si>
    <t>Subjectivity and Estimation (B)</t>
  </si>
  <si>
    <t>Susceptability to Loss / Misstatement Due to Error or Fraud (C)</t>
  </si>
  <si>
    <t>Complexity of Transactions (D)</t>
  </si>
  <si>
    <t>Conclusion</t>
  </si>
  <si>
    <t>Production</t>
  </si>
  <si>
    <t>Royalty Paid</t>
  </si>
  <si>
    <t>Y</t>
  </si>
  <si>
    <t>N</t>
  </si>
  <si>
    <t>Yes</t>
  </si>
  <si>
    <t>Raw Material Consumption</t>
  </si>
  <si>
    <t>Stores Consumption</t>
  </si>
  <si>
    <t>Operation Expenses</t>
  </si>
  <si>
    <t>Packing Material  Consumed</t>
  </si>
  <si>
    <t>Bauxite Raising Expenses</t>
  </si>
  <si>
    <t>Compensation in-lieu of return of Mining Lease</t>
  </si>
  <si>
    <t>Royalty Payable</t>
  </si>
  <si>
    <t>Raw Material Consumption-LDO</t>
  </si>
  <si>
    <t>y</t>
  </si>
  <si>
    <t>Utkal Power-Unit 1</t>
  </si>
  <si>
    <t>Utkal Bauxite Mines</t>
  </si>
  <si>
    <t>Utkal Alumina Refinery</t>
  </si>
  <si>
    <t>Own Power/Steam Generation Cost</t>
  </si>
  <si>
    <t>Raw Material Consumption-Tray Flocculant</t>
  </si>
  <si>
    <t>Risk and Control Matrix - Production</t>
  </si>
  <si>
    <t>Cluster Name</t>
  </si>
  <si>
    <t>UAIL</t>
  </si>
  <si>
    <t>Location:</t>
  </si>
  <si>
    <t>Odisha</t>
  </si>
  <si>
    <t>Status:</t>
  </si>
  <si>
    <t>Draft</t>
  </si>
  <si>
    <t>ASSERTIONS</t>
  </si>
  <si>
    <t>CONTROL DETAILS</t>
  </si>
  <si>
    <t>CONTROL DESIGN EFFECTIVENESS</t>
  </si>
  <si>
    <t>OE Testing Result</t>
  </si>
  <si>
    <t>Major Process</t>
  </si>
  <si>
    <t>Sub Process</t>
  </si>
  <si>
    <t>Risk Heat</t>
  </si>
  <si>
    <t>Risk #</t>
  </si>
  <si>
    <t>Risk Description</t>
  </si>
  <si>
    <t>Control #</t>
  </si>
  <si>
    <t>Control Description</t>
  </si>
  <si>
    <t>Control Comments</t>
  </si>
  <si>
    <t xml:space="preserve"> Risk of material misstatement  (Yes, No, N/A)</t>
  </si>
  <si>
    <t>Risk of Fraud  (Yes, No, N/A)</t>
  </si>
  <si>
    <t>Existence/ Occurrence</t>
  </si>
  <si>
    <t xml:space="preserve">Completeness </t>
  </si>
  <si>
    <t>Valuation/ Allocation</t>
  </si>
  <si>
    <t xml:space="preserve">Rights/ Obligations </t>
  </si>
  <si>
    <t>Presentation/ Disclosure</t>
  </si>
  <si>
    <t>Control Evidence</t>
  </si>
  <si>
    <r>
      <t xml:space="preserve">Process Owner </t>
    </r>
    <r>
      <rPr>
        <sz val="9"/>
        <rFont val="Arial"/>
        <family val="2"/>
      </rPr>
      <t>(include title)</t>
    </r>
  </si>
  <si>
    <t>Frequency of Control</t>
  </si>
  <si>
    <r>
      <t xml:space="preserve">Control Method </t>
    </r>
    <r>
      <rPr>
        <sz val="9"/>
        <rFont val="Arial"/>
        <family val="2"/>
      </rPr>
      <t>(Manual /  Automated / IT Dependent)</t>
    </r>
  </si>
  <si>
    <t>Supporting IT Applications and/or System</t>
  </si>
  <si>
    <r>
      <t xml:space="preserve">Control Nature
</t>
    </r>
    <r>
      <rPr>
        <sz val="9"/>
        <rFont val="Arial"/>
        <family val="2"/>
      </rPr>
      <t>(Preventive, Detective)</t>
    </r>
  </si>
  <si>
    <r>
      <t xml:space="preserve">Key Control? </t>
    </r>
    <r>
      <rPr>
        <sz val="9"/>
        <rFont val="Arial"/>
        <family val="2"/>
      </rPr>
      <t>(Yes, No, N/A)</t>
    </r>
  </si>
  <si>
    <t>Design Gap Description</t>
  </si>
  <si>
    <t>Design Gap Ref #</t>
  </si>
  <si>
    <t>Testing Results</t>
  </si>
  <si>
    <t>Input consumption</t>
  </si>
  <si>
    <t>Medium</t>
  </si>
  <si>
    <t>R01</t>
  </si>
  <si>
    <t>Unauthorized issue of materials to the production may result in recording of incorrect consumption</t>
  </si>
  <si>
    <t>PRO.01</t>
  </si>
  <si>
    <t>Bulk Raw Materials are stored in the respective stockpile/storage tank by the Raw Materials stores team post quality check and weighment. The GRN is entered in Oracle by the Raw Materials Team and is directly issued to the production team for continuous consumption. On a monthly basis, analysis of opening and closing stock is done to derive consumption for the period</t>
  </si>
  <si>
    <t>Control Exists</t>
  </si>
  <si>
    <t>No</t>
  </si>
  <si>
    <t>x</t>
  </si>
  <si>
    <t>1. GRN Entry by Raw materials team
1. Quality check and certification -Ann - B
2. Weighment slip (from raw materials team)</t>
  </si>
  <si>
    <t>A. Ananth
Kishore Chandra Sahu</t>
  </si>
  <si>
    <t>Monthly</t>
  </si>
  <si>
    <t>Manual</t>
  </si>
  <si>
    <t>NA</t>
  </si>
  <si>
    <t>Detective</t>
  </si>
  <si>
    <t>R02</t>
  </si>
  <si>
    <t>Incorrect consumption recorded in the books of accounts</t>
  </si>
  <si>
    <t>PRO.02</t>
  </si>
  <si>
    <t>Bauxite:
Bauxite estimated consumption is calculated backwards based on feed bauxite quality measured &amp; the hydrated metal output declared daily by the Production Technical team. The estimated consumption of Bauxite is computed manually by the Alumina Technical officer and signed off by the Alumina Technical Head. This estimated consumption figure is emailed to Accounts by the Alumina Plant Technical team. The consumption is entered in Oracle by the Accounts Manager.</t>
  </si>
  <si>
    <t>1. Screenshot of entry of raw material consumption in Oracle
2. Email of estimated consumption figure sent to Account by Technical team
1. WIP physical inventory report - Ann - C
2. Backward computation for Raw material consumption and bauxite consumption- Ann- D</t>
  </si>
  <si>
    <t>A. Ananth</t>
  </si>
  <si>
    <t>Daily</t>
  </si>
  <si>
    <t>Preventive</t>
  </si>
  <si>
    <t>PRO.03</t>
  </si>
  <si>
    <t>Other:
The quantity of material issued for Raw Materials is based on the difference of the month-end stock post physical verification and the amount of stock received during the month and the opening stock.</t>
  </si>
  <si>
    <t>Screenshot of entry of raw material consumption</t>
  </si>
  <si>
    <t>Stock Monitoring</t>
  </si>
  <si>
    <t>R03</t>
  </si>
  <si>
    <t>Issue of raw material and receipt of bulk product is incorrectly recorded in the inventory records</t>
  </si>
  <si>
    <t>PRO.04</t>
  </si>
  <si>
    <t>Physical verification of bauxite and all other raw materials is conducted by an external surveyor on quarterly basis along with the Production technical team and the Accounts team.
Physical verification of all raw materials apart from Bauxite is conducted by Alumina Technical  on a monthly basis.</t>
  </si>
  <si>
    <t xml:space="preserve">1. External Surveyor inventory report 
2. Report of stock taking conducted internally
</t>
  </si>
  <si>
    <t>Quarterly</t>
  </si>
  <si>
    <t>Quality Inspection</t>
  </si>
  <si>
    <t>Low</t>
  </si>
  <si>
    <t>R04</t>
  </si>
  <si>
    <t>Adequate quality and inspection verification is not conducted before finished materials are accepted and inventoried</t>
  </si>
  <si>
    <t>PRO.05</t>
  </si>
  <si>
    <t>Sample collection, preparation and analysis for Quality Certification is governed by the SOP. Sample are drawn from the Alumina Silo during the bagging process and this analysis is used for quality certification purpose to internal smelter dispatches.
Ship loading samples collected by the third party are analysed by Utkal Lab in presence of third party and certificate is issued for export sample.</t>
  </si>
  <si>
    <t>1. Quality report received from the Lab - Ann - F
2. SOP for Sample collection, preparation and analysis - Ann - G</t>
  </si>
  <si>
    <t>Event driven</t>
  </si>
  <si>
    <t>R05</t>
  </si>
  <si>
    <t>Receipt of finished product is incorrectly recorded in the inventory records</t>
  </si>
  <si>
    <t>PRO.06</t>
  </si>
  <si>
    <t>Materials (Alumina Product) are declared as finished goods and issued to the customers and Hindalco only after approval and examination by the Lab &amp; Quality</t>
  </si>
  <si>
    <t>FG physical inventory report Ann - H</t>
  </si>
  <si>
    <t>PRO.07</t>
  </si>
  <si>
    <t>Finished goods are inventoried after the weighment is done and allotted to the respective transport by the Production Operator. The weighment and system entry is done by the Dispatch operator. The hard copy of the invoice is signed off by the DGM Tax. The Invoices are generated by the Accounts team based on the rake/truck loading provided by the warehouse.</t>
  </si>
  <si>
    <t>Screenshots of Finished Goods Entry in Oracle</t>
  </si>
  <si>
    <t>Samir Rout</t>
  </si>
  <si>
    <t>R06</t>
  </si>
  <si>
    <t>Inaccurate procurement and payment of Power from the grid</t>
  </si>
  <si>
    <t>PRO.08</t>
  </si>
  <si>
    <t>Power plant:
Meters are installed to measure the total power generated, the power consumed. 
The meter reading is recorded in the log book by the shift operator and approved by the shift in charge. The daily report of power generation is sent to Accounts MIS team.</t>
  </si>
  <si>
    <t>Screenshots of JV
Scan copy of logs of power generated and transmitted</t>
  </si>
  <si>
    <t>Kishore Chandra Sahu</t>
  </si>
  <si>
    <t>PRO.09</t>
  </si>
  <si>
    <t>Power plant:
In case of emergency power requirement, UAIL has a contract with OPTCL (Odisha Power Transmission Corporation Limited) for tapping into the Eastern Zone grid. The transmission switch is physically secured and can be switched on by the AVP Power Plant. Meters are installed to measure the total power generated, the power consumed.
The joint meter reading is taken by the Electrical department and OPTCL based on which invoice is raised. The bill passing team makes the payment post receipt of invoice authorized by the Electrical department HOD.</t>
  </si>
  <si>
    <t>Consumption Recording</t>
  </si>
  <si>
    <t>High</t>
  </si>
  <si>
    <t>R07</t>
  </si>
  <si>
    <t>Issue of raw material  not recorded in the correct accounting period</t>
  </si>
  <si>
    <t>PRO.10</t>
  </si>
  <si>
    <t>Raw material issue is recorded at the end of every month after the physical verification by the raw materials stores team in Oracle by creation of Move Order and approved as per the DOA.</t>
  </si>
  <si>
    <t>Raw material consumption email sent to the Accounts And Stores - Ann - D1</t>
  </si>
  <si>
    <t>R08</t>
  </si>
  <si>
    <t>Production goods receipt is not recorded in the correct accounting period</t>
  </si>
  <si>
    <t>PRO.11</t>
  </si>
  <si>
    <t>Finished goods are inventoried by the Finance team based on month end physical count and dip-check conducted by the Plant technical team along with the finance team.</t>
  </si>
  <si>
    <t xml:space="preserve">FG physical inventory report &amp; weighment - Ann - H (Despatch weighment report is available with Material Dept.) </t>
  </si>
  <si>
    <t>Mining</t>
  </si>
  <si>
    <t>Legal Compliance</t>
  </si>
  <si>
    <t>R09</t>
  </si>
  <si>
    <t>Quantity extracted from mines is in violation of the permit</t>
  </si>
  <si>
    <t>PRO.12</t>
  </si>
  <si>
    <t>Bauxite is quarried as per the terms &amp; condition of the Mining Plan/Environmental Clearance. Returns are filed to Government agencies for extracted quantity of Bauxite at regular intervals.
Mines manager is responsible to ensure that the extraction does not exceed the permitted extraction quantity as per the mining plan approved and the same is reviewed by GM - Mines on a daily basis.</t>
  </si>
  <si>
    <t>1. Approved Mining plan</t>
  </si>
  <si>
    <t>GM - Mining</t>
  </si>
  <si>
    <t>PRO.13</t>
  </si>
  <si>
    <t>A Five year mining plan and mining scheme is prepared before the commencement of mining operations. The plan is approved by Indian Bureau of Mines.
Unit Head ensures that the mining commences only after receipt of approved mining plan and mining scheme.</t>
  </si>
  <si>
    <t>1. Sample Approved Mining Plan - Cover Page</t>
  </si>
  <si>
    <t>Event Driven</t>
  </si>
  <si>
    <t>R10</t>
  </si>
  <si>
    <t>Inaccurate Reserve estimation</t>
  </si>
  <si>
    <t>PRO.14</t>
  </si>
  <si>
    <t>The reserve estimation is done by Data-Mine Geologist. The same is reviewed by GM - Mining and included in the Mining Plan and Mining Scheme.</t>
  </si>
  <si>
    <t>1. Reserve Estimation in Mining Plan
2. Copy of Surveyor's Certificate</t>
  </si>
  <si>
    <t>Royalty towards mining</t>
  </si>
  <si>
    <t>R11</t>
  </si>
  <si>
    <t>Inaccurate recording of royalty payment</t>
  </si>
  <si>
    <t>PRO.15</t>
  </si>
  <si>
    <t>Royalty is paid Deputy Director Mines, Government of Odisha on an annual basis based on the terms and conditions of the mining plan.
The payment is made by the Bills payment section based on NFA provided by the GM Mines and approved by the GM Finance &amp; Accounts.</t>
  </si>
  <si>
    <t>PRO.16</t>
  </si>
  <si>
    <t>As per the Mining plan, UAIL is liable to pay equivalent amount of compensation annually towards preference shares not issued to Odisha Mining Corporation. The payment is made by the Bills payment section based on NFA provided by the GM Mines and approved by the GM Finance &amp; Accounts.</t>
  </si>
  <si>
    <t>Monitoring of extracted quantity</t>
  </si>
  <si>
    <t>R12</t>
  </si>
  <si>
    <t>Incorrect computation of quantity extracted</t>
  </si>
  <si>
    <t>PRO.17</t>
  </si>
  <si>
    <t>At the end of each month, Surveyor conduct survey to calculate total quantity of top soil, OB &amp; Bauxite excavated during the month  by total station instrument and data-mine software and certifies the quantity extracted.</t>
  </si>
  <si>
    <t>1. Stock report of Mines</t>
  </si>
  <si>
    <t>Inventory Management of Bauxite at Mines</t>
  </si>
  <si>
    <t>R13</t>
  </si>
  <si>
    <t>Incorrect Reporting of the closing stock at month ends lying not dispatched at the mines</t>
  </si>
  <si>
    <t>PRO.18</t>
  </si>
  <si>
    <t>The closing stock of Bauxite is also surveyed and calculated through DATAMINE and maintained in register which is being verified by Government authorities on regular basis. The quantity is also reconciled by Third party surveyor on every Quarter.</t>
  </si>
  <si>
    <t>Dispatch Management</t>
  </si>
  <si>
    <t>R14</t>
  </si>
  <si>
    <t>Dispatched quantity is incorrectly weighed / inaccurately captured</t>
  </si>
  <si>
    <t>PRO.19</t>
  </si>
  <si>
    <t>Weighbridge is installed at the mines for capturing the dispatch weighment accurately. The tare weight of the vehicle hired is taken once in 15 days and fed into the system by the Mines Dispatch Coordinators as the tare weight is not taken for every single trip. The gross weight is taken for every vehicle dispatch and the quantity dispatched is calculated as difference between Gross weight captured and tare weight existing in system</t>
  </si>
  <si>
    <t>Deficient Control</t>
  </si>
  <si>
    <t>1. Screenshot of system where Tare Weight of vehicles is captured</t>
  </si>
  <si>
    <t>R15</t>
  </si>
  <si>
    <t>Losses during the transit are not recovered from transporters</t>
  </si>
  <si>
    <t>PRO.20</t>
  </si>
  <si>
    <t>Quantity of bauxite dispatched from the mines in the trucks is considered to be the final quantity of bauxite received at UAIL.</t>
  </si>
  <si>
    <t>1. Contract with transporter
2. Shortages report sent to Accounts payables</t>
  </si>
  <si>
    <t>Transit shortages/ losses not identified and the quantity dispatched from mines is assumed to be the quantity received
Differences between quantity dispatch and quantity received is not done since the material is not weighed at the plant.</t>
  </si>
  <si>
    <t>UAIL-PRO-1</t>
  </si>
  <si>
    <t>Procurement of Explosives</t>
  </si>
  <si>
    <t>R16</t>
  </si>
  <si>
    <t>Unauthorised purchase commitments are made</t>
  </si>
  <si>
    <t>PRO.21</t>
  </si>
  <si>
    <t>There is an annual rate contract with an Explosives Supplier (Pioneer Pile Foundation and Kel Tech ) for all the explosives required by  mines. The rates have been approved by the Head - Mines. The purchases are recorded through the PR and PO process</t>
  </si>
  <si>
    <t>1. Copy of approved rate contract
2. Copy of PO</t>
  </si>
  <si>
    <t>Procurement Manager</t>
  </si>
  <si>
    <t>Inventory Taking of explosives</t>
  </si>
  <si>
    <t>R17</t>
  </si>
  <si>
    <t>Mismatch between the book stock and physical stock of explosives remains unidentified</t>
  </si>
  <si>
    <t>PRO.22</t>
  </si>
  <si>
    <t>Due to absence of license, explosives are not stored at the mines. The explosives are ordered and consumed immediately.</t>
  </si>
  <si>
    <t>Payment to Vendor</t>
  </si>
  <si>
    <t>R18</t>
  </si>
  <si>
    <t>Unauthorized payment to vendor</t>
  </si>
  <si>
    <t>PRO.23</t>
  </si>
  <si>
    <t>Mining operations are outsourced to a single vendor under contract. On periodic basis, the invoice is provided by the vendor based on which the GM Mining, GM Finance &amp; Accounts provides the approval for payment. The same is then charged to Bauxite Raising Expenses and the vendor's liability is recognized and paid by the bills payment section.</t>
  </si>
  <si>
    <t>Internal Control Improvements - Production</t>
  </si>
  <si>
    <t>Sr. No.</t>
  </si>
  <si>
    <t>Mega Process</t>
  </si>
  <si>
    <t>Risk No.</t>
  </si>
  <si>
    <t>Gap Ref No.</t>
  </si>
  <si>
    <t>Content of Deficiency</t>
  </si>
  <si>
    <t>Key Control / Key Gap</t>
  </si>
  <si>
    <t>Remediation Plan</t>
  </si>
  <si>
    <t>Process Owner</t>
  </si>
  <si>
    <t>Schedule Date of Completion</t>
  </si>
  <si>
    <t>Mines</t>
  </si>
  <si>
    <t>R21</t>
  </si>
  <si>
    <t>Transit shortages/ losses not identified since the quantity dispatched from mines is assumed to be the quantity received</t>
  </si>
  <si>
    <t>BXT losses during Transit are not accurately envisaged due to lack of weighbridge at Receipt end ( Plant Entry ) on daily basis. However the losses are recovered from the existing Mine Road every month separately by engaging additional fleet by the transport contractor. After recovery the Book &amp; Physical Inventory are matching each other which states that, there is no loss cumulatively.</t>
  </si>
  <si>
    <t>Reconciliation of Stock Dispatched</t>
  </si>
  <si>
    <t>R22</t>
  </si>
  <si>
    <t>Differences between stock dispatched from mines and stock received at receiving plant is not reconciled</t>
  </si>
  <si>
    <t>Differences between quantity dispatch and quantity received is not done since the material is not weighed at the plant.</t>
  </si>
  <si>
    <t>Physical Inventory of BXT at Plant end is being met thru' Survey in every Month by In-house &amp; quarterly by Third party.</t>
  </si>
  <si>
    <t>Manufacturing Process</t>
  </si>
  <si>
    <t>Gracewill Dsouza (Marketing Head) obtains the customer enquiries and sends to the Production Operation head</t>
  </si>
  <si>
    <t>Based on input from Production, the enquiry is accepted and the response is sent</t>
  </si>
  <si>
    <t>Once the customer releases PO, the Marketing Head sends the monthly cumulative orders (Order Position) to the Production Technical Supervisor for production planning</t>
  </si>
  <si>
    <t>The inventory of inputs is analyzed and a PR is raised for the balance requirement to fulfill the order position</t>
  </si>
  <si>
    <t>The production plan contains the number of batches, the time required for each batch, the inputs required for each batch.</t>
  </si>
  <si>
    <t>The timeline for batches is also planned in the Production Plan. The inputs of the marketing team is also taken to decide the priority of production</t>
  </si>
  <si>
    <t>For every batch, a document is prepared known as the 'Traveler'</t>
  </si>
  <si>
    <t>Traveler contains the following</t>
  </si>
  <si>
    <t>Sno</t>
  </si>
  <si>
    <t>Name of the Sheet</t>
  </si>
  <si>
    <t>Contents</t>
  </si>
  <si>
    <t>Prepared by</t>
  </si>
  <si>
    <t>Reviewed by</t>
  </si>
  <si>
    <t>Configuration Management</t>
  </si>
  <si>
    <t>Check Points, Planned 
Data, Actual Data, Reference, and Signature.
The Planned data is inputted by the Lab in-charge from the Monthly Production Plan prepared by the Technical Supervisor.
Actual Process Data is inputted by the Shift Engineer/ Lab (Executor)</t>
  </si>
  <si>
    <t>Lab Incharge/ Shift Engineer</t>
  </si>
  <si>
    <t>GM Manufacturing</t>
  </si>
  <si>
    <t>Casting Recipe</t>
  </si>
  <si>
    <t>Casting Parameters - details of various processing to be done</t>
  </si>
  <si>
    <t>Technical Head</t>
  </si>
  <si>
    <t>Casting Report</t>
  </si>
  <si>
    <t>Casting Parameters - details of various processes done by the operators</t>
  </si>
  <si>
    <t>System Generated</t>
  </si>
  <si>
    <t>Spectro Analysis Report</t>
  </si>
  <si>
    <t>Chemical Specifications</t>
  </si>
  <si>
    <t>Shift Operators</t>
  </si>
  <si>
    <t>AM Laboratory</t>
  </si>
  <si>
    <t>Homegenising Process Control</t>
  </si>
  <si>
    <t>Details pertaining to the homogenising process</t>
  </si>
  <si>
    <t>Electrical/Instrumentation in charge</t>
  </si>
  <si>
    <t>Metallographic Evaluation Report</t>
  </si>
  <si>
    <t>Homogenising report</t>
  </si>
  <si>
    <t>Ultrasonic Inspection Report</t>
  </si>
  <si>
    <t>Details about cracks</t>
  </si>
  <si>
    <t>Quality Inspector</t>
  </si>
  <si>
    <t>Ultrasonic Incharge</t>
  </si>
  <si>
    <t>Cutting and Scalping Report</t>
  </si>
  <si>
    <t>Details about cutting and scalping</t>
  </si>
  <si>
    <t>Casting Operators</t>
  </si>
  <si>
    <t>Shift In charge</t>
  </si>
  <si>
    <t>WIP is prepared by Technical Supervisor and reviewed by the Technical Head</t>
  </si>
  <si>
    <t>Inputs are received psot the test vertifccate review. The inspeciton report is created by the receiver</t>
  </si>
  <si>
    <t>Recovery is mentioned in the quality certificate</t>
  </si>
  <si>
    <t>The stores are under lock and key</t>
  </si>
  <si>
    <t>Customer enquiry response mentions what the capability is and what we can supply</t>
  </si>
  <si>
    <t>Operations are scheduled based on the orders in hand in the month</t>
  </si>
  <si>
    <t>Travelers are created for every type of order based on the type of the product</t>
  </si>
  <si>
    <t>Monthly mis of Metal Loss, Dross, Production, FG, WIP and Raw materials, fuel efficiency, propane consumption, recovery, diesel</t>
  </si>
  <si>
    <t>There is an inbuilt standard of consumption</t>
  </si>
  <si>
    <t>Cross functional team is involved in physical verification on the 1st of every month</t>
  </si>
  <si>
    <t>Truck Loading is done by Sandeep and verified by Production Technical</t>
  </si>
  <si>
    <t>Finished goods weight is written on the log by the supervisor on the material by a marker</t>
  </si>
  <si>
    <t>Theoretical computation of the weight is done to confirm with the dispatched weight</t>
  </si>
  <si>
    <t>Shift schedule is prepared  at the beginning of the month and displayed in the shopfloor</t>
  </si>
  <si>
    <t>BOM copy is with the Technical Head and any changes get logged</t>
  </si>
  <si>
    <t>Finished Goods weight is manually entered</t>
  </si>
  <si>
    <t>Truck Gross weight and tare weight is not linked to Oracle</t>
  </si>
  <si>
    <t>Trip Creation is not in Oracle</t>
  </si>
  <si>
    <t>Net weight of the truck is manually verified by the Dispatch Person. The dispatch person also creates the invoice</t>
  </si>
  <si>
    <t>The weighment of the finished goods is done by the Production team</t>
  </si>
  <si>
    <t>The weighment of the truck is done by the dispatch person</t>
  </si>
  <si>
    <t>The invoice is signed by the GM Finance. This is prior to truck loading</t>
  </si>
  <si>
    <t>The invoices fetches the item code, item description and rate automatically from the sales order. The same cannot be changed. The quantity is manually inputted based on information from the production team</t>
  </si>
  <si>
    <t>Documents at the time of Dispatch:</t>
  </si>
  <si>
    <t>1. Invoice</t>
  </si>
  <si>
    <t>2. Packing list</t>
  </si>
  <si>
    <t>3. Bill of Entry for domestic sales</t>
  </si>
  <si>
    <t>4. Shipping Bill for exports</t>
  </si>
  <si>
    <t>5. Test Certificate from internal lab</t>
  </si>
  <si>
    <t>6. LR Copy</t>
  </si>
  <si>
    <t>7. Waybill/Road Permit depending on state</t>
  </si>
  <si>
    <t>In case of domestic sales, the Bill of Entry is filed by HAAL on behalf of the customer</t>
  </si>
  <si>
    <t>Authority Letter is taken from the customer to file a Bill of Entry</t>
  </si>
  <si>
    <t>The same is submitted to Customs Assessing Officer</t>
  </si>
  <si>
    <t>All domestic sales are ex-works</t>
  </si>
  <si>
    <t>Tax Invoice is made in all cases</t>
  </si>
  <si>
    <t>Customs duty is paid by HAAL on behalf of customer</t>
  </si>
  <si>
    <t>Customer sends the PO to Marketing - Gracewill Dsouza</t>
  </si>
  <si>
    <t>Assessment of Bill of Entry</t>
  </si>
  <si>
    <t>The Bill of Entry details are uploaded in the SEZ Online Portal.</t>
  </si>
  <si>
    <t xml:space="preserve">Details of the invoice such as the item code, weight, number of packages, customer name, </t>
  </si>
  <si>
    <t>The details are entered by the Dispatch Officer. The same is then sent to the GM Finance for Approval</t>
  </si>
  <si>
    <t>Post the approval of the GM Finance, the Bill of Entry is sent to the Customs Assessing Officer</t>
  </si>
  <si>
    <t>The Customs inspector physically verifies the material and signs on the Bill of Entry physical copy.</t>
  </si>
  <si>
    <t>The SEZ seal is then applied on the truck</t>
  </si>
  <si>
    <t>The material is then approved online on the portal and the material is dispatched</t>
  </si>
  <si>
    <t>Evaluation of CHA is done by marketing</t>
  </si>
  <si>
    <t xml:space="preserve">As it is practically not possible to study all aspects of a process in its entirety thoroughly during the limited time period of an IFC review, based on our methodology for conducting IFC review, we conducted a review of the process &amp; held discussions with the process owners &amp; other key people in the process during the planning stage of IFC review which helped us in identifying specific areas where control weaknesses &amp; process gaps may exist, opportunities for process improvement &amp; / or cost reduction / revenue enhancement. 
Our subsequent test work, study of issues in detail &amp; developing action plans are directed towards the issues identified. Consequently this report may not necessarily comment on all the function / process related matters perceived as important by the management. 
The issues identified &amp; proposed action plans in this report are based on our discussions with the people engaged in the process, review of relevant documents/records &amp; our physical observation of the activities in the process. We made specific efforts to verify the accuracy &amp; authenticity of the information gathered only in those cases where it was felt necessary. The work carried out &amp; the analysis thereof is based on the interviews with the personnel &amp; the records provided by them. The identification of the issues in the report is mainly based on the review of records, sample verification of documents / transactions &amp; physical observation of the events. As the basis of sample selection is purely judgmental in view of the time available, the outcome of the analysis may not be exhaustive &amp; representing all possibilities, though we have taken reasonable care to cover the major eventualities.
This report is meant for UAIL’s management only &amp; should not be quoted or referred to without our prior written consent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</si>
</sst>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00"/>
    <numFmt numFmtId="166" formatCode="&quot;(&quot;0%&quot;)   &quot;;[Red]\-&quot;(&quot;0%&quot;)   &quot;;&quot;－    &quot;"/>
    <numFmt numFmtId="167" formatCode="&quot;(&quot;0.00%&quot;)   &quot;;[Red]\-&quot;(&quot;0.00%&quot;)   &quot;;&quot;－    &quot;"/>
    <numFmt numFmtId="168" formatCode="0.00%;[Red]\-0.00%;&quot;－&quot;"/>
    <numFmt numFmtId="169" formatCode="_(* #,##0_);_(* \(#,##0\);_(* &quot;-&quot;??_);_(@_)"/>
    <numFmt numFmtId="170" formatCode="0.0000%"/>
  </numFmts>
  <fonts count="29">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sz val="10"/>
      <name val="Arial"/>
      <family val="2"/>
    </font>
    <font>
      <sz val="11"/>
      <name val="ＭＳ Ｐゴシック"/>
      <family val="3"/>
      <charset val="128"/>
    </font>
    <font>
      <sz val="12"/>
      <name val="Times New Roman"/>
      <family val="1"/>
    </font>
    <font>
      <sz val="11"/>
      <name val="ＭＳ ゴシック"/>
      <family val="3"/>
      <charset val="128"/>
    </font>
    <font>
      <sz val="11"/>
      <name val="ＭＳ 明朝"/>
      <family val="1"/>
      <charset val="128"/>
    </font>
    <font>
      <b/>
      <sz val="14"/>
      <name val="ＭＳ Ｐゴシック"/>
      <family val="3"/>
      <charset val="128"/>
    </font>
    <font>
      <b/>
      <sz val="9"/>
      <color theme="1"/>
      <name val="Arial"/>
      <family val="2"/>
    </font>
    <font>
      <sz val="9"/>
      <color theme="1"/>
      <name val="Arial"/>
      <family val="2"/>
    </font>
    <font>
      <u/>
      <sz val="11"/>
      <color theme="10"/>
      <name val="Calibri"/>
      <family val="2"/>
      <scheme val="minor"/>
    </font>
    <font>
      <b/>
      <sz val="14"/>
      <color theme="1"/>
      <name val="Arial"/>
      <family val="2"/>
    </font>
    <font>
      <sz val="12"/>
      <color theme="1"/>
      <name val="Arial"/>
      <family val="2"/>
    </font>
    <font>
      <b/>
      <sz val="12"/>
      <color theme="1"/>
      <name val="Arial"/>
      <family val="2"/>
    </font>
    <font>
      <b/>
      <sz val="12"/>
      <color theme="0"/>
      <name val="Arial"/>
      <family val="2"/>
    </font>
    <font>
      <u/>
      <sz val="10"/>
      <color theme="10"/>
      <name val="Arial"/>
      <family val="2"/>
    </font>
    <font>
      <u/>
      <sz val="12"/>
      <color theme="10"/>
      <name val="Arial"/>
      <family val="2"/>
    </font>
    <font>
      <sz val="9"/>
      <name val="EYInterstate Light"/>
    </font>
    <font>
      <b/>
      <sz val="8"/>
      <name val="EYInterstate Light"/>
    </font>
    <font>
      <sz val="8"/>
      <name val="EYInterstate Light"/>
    </font>
    <font>
      <b/>
      <sz val="9"/>
      <name val="EYInterstate Light"/>
    </font>
    <font>
      <b/>
      <i/>
      <sz val="8"/>
      <name val="EYInterstate Light"/>
    </font>
    <font>
      <sz val="9"/>
      <name val="EYInterstate"/>
    </font>
    <font>
      <sz val="9"/>
      <name val="Arial"/>
      <family val="2"/>
    </font>
    <font>
      <b/>
      <sz val="9"/>
      <color rgb="FF515151"/>
      <name val="Arial"/>
      <family val="2"/>
    </font>
    <font>
      <b/>
      <sz val="9"/>
      <name val="Arial"/>
      <family val="2"/>
    </font>
    <font>
      <sz val="11"/>
      <name val="Calibri"/>
      <family val="2"/>
      <scheme val="minor"/>
    </font>
  </fonts>
  <fills count="13">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theme="2"/>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1" tint="0.249977111117893"/>
        <bgColor indexed="64"/>
      </patternFill>
    </fill>
    <fill>
      <patternFill patternType="solid">
        <fgColor theme="0" tint="-4.9989318521683403E-2"/>
        <bgColor indexed="64"/>
      </patternFill>
    </fill>
    <fill>
      <patternFill patternType="solid">
        <fgColor rgb="FF00B0F0"/>
        <bgColor indexed="64"/>
      </patternFill>
    </fill>
    <fill>
      <patternFill patternType="solid">
        <fgColor theme="0" tint="-0.34998626667073579"/>
        <bgColor indexed="64"/>
      </patternFill>
    </fill>
  </fills>
  <borders count="16">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45">
    <xf numFmtId="0" fontId="0" fillId="0" borderId="0"/>
    <xf numFmtId="164" fontId="1" fillId="0" borderId="0" applyFont="0" applyFill="0" applyBorder="0" applyAlignment="0" applyProtection="0"/>
    <xf numFmtId="0" fontId="3" fillId="0" borderId="0"/>
    <xf numFmtId="0" fontId="5" fillId="0" borderId="0"/>
    <xf numFmtId="0" fontId="4" fillId="0" borderId="0"/>
    <xf numFmtId="0" fontId="4" fillId="0" borderId="0" applyBorder="0"/>
    <xf numFmtId="0" fontId="3" fillId="0" borderId="0"/>
    <xf numFmtId="0" fontId="3" fillId="0" borderId="0"/>
    <xf numFmtId="0" fontId="6" fillId="0" borderId="0"/>
    <xf numFmtId="0" fontId="1" fillId="0" borderId="0"/>
    <xf numFmtId="164" fontId="3" fillId="0" borderId="0" applyFont="0" applyFill="0" applyBorder="0" applyAlignment="0" applyProtection="0"/>
    <xf numFmtId="165" fontId="4" fillId="0" borderId="0">
      <alignment horizontal="left" wrapText="1"/>
    </xf>
    <xf numFmtId="0" fontId="1" fillId="0" borderId="0"/>
    <xf numFmtId="0" fontId="1" fillId="0" borderId="0"/>
    <xf numFmtId="0" fontId="1" fillId="0" borderId="0"/>
    <xf numFmtId="165" fontId="4" fillId="0" borderId="0">
      <alignment horizontal="left" wrapText="1"/>
    </xf>
    <xf numFmtId="165" fontId="4" fillId="0" borderId="0">
      <alignment horizontal="left" wrapText="1"/>
    </xf>
    <xf numFmtId="0" fontId="3" fillId="0" borderId="0"/>
    <xf numFmtId="0" fontId="1" fillId="2" borderId="1" applyNumberFormat="0" applyFont="0" applyAlignment="0" applyProtection="0"/>
    <xf numFmtId="9" fontId="3" fillId="0" borderId="0" applyFont="0" applyFill="0" applyBorder="0" applyAlignment="0" applyProtection="0"/>
    <xf numFmtId="165" fontId="4" fillId="0" borderId="0">
      <alignment horizontal="left" wrapText="1"/>
    </xf>
    <xf numFmtId="166" fontId="7" fillId="0" borderId="0" applyFont="0" applyFill="0" applyBorder="0" applyAlignment="0" applyProtection="0"/>
    <xf numFmtId="167" fontId="7" fillId="0" borderId="0" applyFont="0" applyFill="0" applyBorder="0" applyAlignment="0" applyProtection="0">
      <alignment vertical="top"/>
    </xf>
    <xf numFmtId="168" fontId="7" fillId="0" borderId="0" applyFont="0" applyFill="0" applyBorder="0" applyAlignment="0" applyProtection="0"/>
    <xf numFmtId="0" fontId="8" fillId="0" borderId="0" applyNumberFormat="0" applyFont="0" applyFill="0" applyBorder="0">
      <alignment horizontal="left" vertical="top" wrapText="1"/>
    </xf>
    <xf numFmtId="0" fontId="5" fillId="0" borderId="0">
      <alignment vertical="center"/>
    </xf>
    <xf numFmtId="0" fontId="9" fillId="0" borderId="0" applyFill="0" applyBorder="0" applyProtection="0"/>
    <xf numFmtId="164" fontId="1" fillId="0" borderId="0" applyFont="0" applyFill="0" applyBorder="0" applyAlignment="0" applyProtection="0"/>
    <xf numFmtId="164" fontId="1" fillId="0" borderId="0" applyFont="0" applyFill="0" applyBorder="0" applyAlignment="0" applyProtection="0"/>
    <xf numFmtId="0" fontId="12" fillId="0" borderId="0" applyNumberFormat="0" applyFill="0" applyBorder="0" applyAlignment="0" applyProtection="0"/>
    <xf numFmtId="0" fontId="4"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3" fillId="0" borderId="0"/>
    <xf numFmtId="0" fontId="1" fillId="0" borderId="0"/>
    <xf numFmtId="0" fontId="1" fillId="2" borderId="1"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0" fontId="17" fillId="0" borderId="0" applyNumberFormat="0" applyFill="0" applyBorder="0" applyAlignment="0" applyProtection="0"/>
    <xf numFmtId="9" fontId="1" fillId="0" borderId="0" applyFont="0" applyFill="0" applyBorder="0" applyAlignment="0" applyProtection="0"/>
  </cellStyleXfs>
  <cellXfs count="164">
    <xf numFmtId="0" fontId="0" fillId="0" borderId="0" xfId="0"/>
    <xf numFmtId="0" fontId="2" fillId="0" borderId="0" xfId="0" applyFont="1"/>
    <xf numFmtId="0" fontId="0" fillId="0" borderId="0" xfId="0" applyAlignment="1">
      <alignment wrapText="1"/>
    </xf>
    <xf numFmtId="0" fontId="11" fillId="8" borderId="0" xfId="9" applyFont="1" applyFill="1"/>
    <xf numFmtId="0" fontId="10" fillId="8" borderId="0" xfId="9" applyFont="1" applyFill="1" applyAlignment="1">
      <alignment horizontal="left"/>
    </xf>
    <xf numFmtId="0" fontId="11" fillId="9" borderId="0" xfId="9" applyFont="1" applyFill="1"/>
    <xf numFmtId="0" fontId="11" fillId="9" borderId="0" xfId="9" applyFont="1" applyFill="1" applyAlignment="1">
      <alignment vertical="top" wrapText="1"/>
    </xf>
    <xf numFmtId="0" fontId="11" fillId="8" borderId="0" xfId="9" applyFont="1" applyFill="1" applyAlignment="1">
      <alignment vertical="top" wrapText="1"/>
    </xf>
    <xf numFmtId="0" fontId="11" fillId="8" borderId="0" xfId="9" applyFont="1" applyFill="1" applyAlignment="1">
      <alignment vertical="top"/>
    </xf>
    <xf numFmtId="0" fontId="1" fillId="4" borderId="8" xfId="9" applyFill="1" applyBorder="1"/>
    <xf numFmtId="0" fontId="1" fillId="4" borderId="0" xfId="9" applyFill="1"/>
    <xf numFmtId="0" fontId="1" fillId="4" borderId="9" xfId="9" applyFill="1" applyBorder="1"/>
    <xf numFmtId="0" fontId="1" fillId="0" borderId="0" xfId="9"/>
    <xf numFmtId="0" fontId="1" fillId="4" borderId="10" xfId="9" applyFill="1" applyBorder="1"/>
    <xf numFmtId="0" fontId="1" fillId="4" borderId="11" xfId="9" applyFill="1" applyBorder="1"/>
    <xf numFmtId="0" fontId="1" fillId="4" borderId="12" xfId="9" applyFill="1" applyBorder="1"/>
    <xf numFmtId="0" fontId="14" fillId="4" borderId="0" xfId="9" applyFont="1" applyFill="1" applyAlignment="1">
      <alignment vertical="top" wrapText="1"/>
    </xf>
    <xf numFmtId="0" fontId="14" fillId="0" borderId="5" xfId="9" applyFont="1" applyBorder="1" applyAlignment="1">
      <alignment vertical="top" wrapText="1"/>
    </xf>
    <xf numFmtId="0" fontId="14" fillId="0" borderId="6" xfId="9" applyFont="1" applyBorder="1" applyAlignment="1">
      <alignment vertical="top" wrapText="1"/>
    </xf>
    <xf numFmtId="0" fontId="14" fillId="0" borderId="7" xfId="9" applyFont="1" applyBorder="1" applyAlignment="1">
      <alignment vertical="top" wrapText="1"/>
    </xf>
    <xf numFmtId="0" fontId="14" fillId="0" borderId="8" xfId="9" applyFont="1" applyBorder="1" applyAlignment="1">
      <alignment vertical="top" wrapText="1"/>
    </xf>
    <xf numFmtId="0" fontId="14" fillId="0" borderId="0" xfId="9" applyFont="1" applyAlignment="1">
      <alignment vertical="top" wrapText="1"/>
    </xf>
    <xf numFmtId="0" fontId="14" fillId="0" borderId="9" xfId="9" applyFont="1" applyBorder="1" applyAlignment="1">
      <alignment vertical="top" wrapText="1"/>
    </xf>
    <xf numFmtId="0" fontId="15" fillId="0" borderId="0" xfId="9" applyFont="1" applyAlignment="1">
      <alignment vertical="top" wrapText="1"/>
    </xf>
    <xf numFmtId="0" fontId="14" fillId="0" borderId="10" xfId="9" applyFont="1" applyBorder="1" applyAlignment="1">
      <alignment vertical="top" wrapText="1"/>
    </xf>
    <xf numFmtId="0" fontId="14" fillId="0" borderId="11" xfId="9" applyFont="1" applyBorder="1" applyAlignment="1">
      <alignment vertical="top" wrapText="1"/>
    </xf>
    <xf numFmtId="0" fontId="14" fillId="0" borderId="12" xfId="9" applyFont="1" applyBorder="1" applyAlignment="1">
      <alignment vertical="top" wrapText="1"/>
    </xf>
    <xf numFmtId="0" fontId="19" fillId="0" borderId="0" xfId="0" applyFont="1"/>
    <xf numFmtId="0" fontId="20" fillId="3" borderId="2" xfId="0" applyFont="1" applyFill="1" applyBorder="1" applyAlignment="1">
      <alignment horizontal="center"/>
    </xf>
    <xf numFmtId="169" fontId="20" fillId="3" borderId="2" xfId="0" quotePrefix="1" applyNumberFormat="1" applyFont="1" applyFill="1" applyBorder="1" applyAlignment="1">
      <alignment horizontal="center"/>
    </xf>
    <xf numFmtId="169" fontId="20" fillId="3" borderId="2" xfId="0" quotePrefix="1" applyNumberFormat="1" applyFont="1" applyFill="1" applyBorder="1" applyAlignment="1">
      <alignment horizontal="center" wrapText="1"/>
    </xf>
    <xf numFmtId="9" fontId="20" fillId="3" borderId="2" xfId="44" quotePrefix="1" applyFont="1" applyFill="1" applyBorder="1" applyAlignment="1">
      <alignment horizontal="center" wrapText="1"/>
    </xf>
    <xf numFmtId="169" fontId="20" fillId="3" borderId="2" xfId="0" applyNumberFormat="1" applyFont="1" applyFill="1" applyBorder="1" applyAlignment="1">
      <alignment horizontal="center" wrapText="1"/>
    </xf>
    <xf numFmtId="169" fontId="19" fillId="0" borderId="0" xfId="0" applyNumberFormat="1" applyFont="1" applyAlignment="1">
      <alignment wrapText="1"/>
    </xf>
    <xf numFmtId="169" fontId="19" fillId="6" borderId="15" xfId="0" applyNumberFormat="1" applyFont="1" applyFill="1" applyBorder="1"/>
    <xf numFmtId="169" fontId="19" fillId="0" borderId="0" xfId="0" applyNumberFormat="1" applyFont="1" applyAlignment="1">
      <alignment horizontal="center"/>
    </xf>
    <xf numFmtId="169" fontId="19" fillId="0" borderId="0" xfId="1" applyNumberFormat="1" applyFont="1" applyFill="1" applyBorder="1"/>
    <xf numFmtId="170" fontId="19" fillId="0" borderId="0" xfId="44" applyNumberFormat="1" applyFont="1" applyBorder="1"/>
    <xf numFmtId="0" fontId="19" fillId="0" borderId="0" xfId="0" applyFont="1" applyAlignment="1">
      <alignment vertical="center"/>
    </xf>
    <xf numFmtId="0" fontId="21" fillId="10" borderId="2" xfId="0" applyFont="1" applyFill="1" applyBorder="1" applyAlignment="1">
      <alignment vertical="center"/>
    </xf>
    <xf numFmtId="169" fontId="20" fillId="0" borderId="2" xfId="0" applyNumberFormat="1" applyFont="1" applyBorder="1" applyAlignment="1">
      <alignment vertical="center" wrapText="1"/>
    </xf>
    <xf numFmtId="10" fontId="20" fillId="6" borderId="2" xfId="44" applyNumberFormat="1" applyFont="1" applyFill="1" applyBorder="1" applyAlignment="1">
      <alignment horizontal="center" vertical="center" wrapText="1"/>
    </xf>
    <xf numFmtId="169" fontId="21" fillId="0" borderId="2" xfId="1" applyNumberFormat="1" applyFont="1" applyFill="1" applyBorder="1" applyAlignment="1">
      <alignment horizontal="center" vertical="center" wrapText="1"/>
    </xf>
    <xf numFmtId="169" fontId="20" fillId="0" borderId="0" xfId="0" applyNumberFormat="1" applyFont="1" applyAlignment="1">
      <alignment horizontal="center" vertical="center"/>
    </xf>
    <xf numFmtId="169" fontId="19" fillId="0" borderId="0" xfId="0" applyNumberFormat="1" applyFont="1" applyAlignment="1">
      <alignment vertical="center"/>
    </xf>
    <xf numFmtId="169" fontId="19" fillId="0" borderId="0" xfId="1" applyNumberFormat="1" applyFont="1" applyFill="1" applyBorder="1" applyAlignment="1">
      <alignment vertical="center"/>
    </xf>
    <xf numFmtId="164" fontId="19" fillId="0" borderId="0" xfId="1" applyFont="1" applyBorder="1" applyAlignment="1">
      <alignment vertical="center"/>
    </xf>
    <xf numFmtId="0" fontId="22" fillId="5" borderId="2" xfId="0" applyFont="1" applyFill="1" applyBorder="1" applyAlignment="1">
      <alignment horizontal="center" vertical="center" wrapText="1"/>
    </xf>
    <xf numFmtId="169" fontId="22" fillId="5" borderId="2" xfId="0" quotePrefix="1" applyNumberFormat="1" applyFont="1" applyFill="1" applyBorder="1" applyAlignment="1">
      <alignment horizontal="center" vertical="center" wrapText="1"/>
    </xf>
    <xf numFmtId="169" fontId="22" fillId="11" borderId="2" xfId="0" quotePrefix="1" applyNumberFormat="1" applyFont="1" applyFill="1" applyBorder="1" applyAlignment="1">
      <alignment horizontal="center" vertical="center" wrapText="1"/>
    </xf>
    <xf numFmtId="169" fontId="22" fillId="6" borderId="2" xfId="0" quotePrefix="1" applyNumberFormat="1" applyFont="1" applyFill="1" applyBorder="1" applyAlignment="1">
      <alignment horizontal="center" vertical="center" wrapText="1"/>
    </xf>
    <xf numFmtId="164" fontId="19" fillId="0" borderId="0" xfId="1" applyFont="1" applyBorder="1" applyAlignment="1">
      <alignment horizontal="right" wrapText="1"/>
    </xf>
    <xf numFmtId="0" fontId="19" fillId="0" borderId="0" xfId="0" applyFont="1" applyAlignment="1">
      <alignment horizontal="right" wrapText="1"/>
    </xf>
    <xf numFmtId="0" fontId="19" fillId="0" borderId="2" xfId="0" applyFont="1" applyBorder="1"/>
    <xf numFmtId="169" fontId="19" fillId="0" borderId="2" xfId="1" applyNumberFormat="1" applyFont="1" applyFill="1" applyBorder="1" applyAlignment="1">
      <alignment horizontal="center" vertical="center" wrapText="1"/>
    </xf>
    <xf numFmtId="9" fontId="19" fillId="6" borderId="2" xfId="44" applyFont="1" applyFill="1" applyBorder="1" applyAlignment="1">
      <alignment horizontal="center" wrapText="1"/>
    </xf>
    <xf numFmtId="164" fontId="19" fillId="0" borderId="0" xfId="1" applyFont="1" applyFill="1" applyBorder="1" applyAlignment="1">
      <alignment horizontal="center"/>
    </xf>
    <xf numFmtId="169" fontId="19" fillId="0" borderId="0" xfId="0" applyNumberFormat="1" applyFont="1"/>
    <xf numFmtId="0" fontId="11" fillId="0" borderId="0" xfId="0" applyFont="1" applyAlignment="1">
      <alignment horizontal="center" vertical="center"/>
    </xf>
    <xf numFmtId="0" fontId="11" fillId="0" borderId="0" xfId="0" applyFont="1" applyAlignment="1">
      <alignment horizontal="justify" vertical="center" wrapText="1"/>
    </xf>
    <xf numFmtId="0" fontId="26" fillId="0" borderId="2" xfId="0" applyFont="1" applyBorder="1" applyAlignment="1">
      <alignment vertical="center"/>
    </xf>
    <xf numFmtId="0" fontId="11" fillId="0" borderId="2" xfId="0" applyFont="1" applyBorder="1" applyAlignment="1">
      <alignment vertical="center" wrapText="1"/>
    </xf>
    <xf numFmtId="0" fontId="26" fillId="0" borderId="0" xfId="0" applyFont="1" applyAlignment="1">
      <alignment vertical="center"/>
    </xf>
    <xf numFmtId="0" fontId="11" fillId="0" borderId="0" xfId="0" applyFont="1" applyAlignment="1">
      <alignment vertical="center" wrapText="1"/>
    </xf>
    <xf numFmtId="0" fontId="26" fillId="0" borderId="3" xfId="0" applyFont="1" applyBorder="1" applyAlignment="1">
      <alignment vertical="center"/>
    </xf>
    <xf numFmtId="0" fontId="11" fillId="0" borderId="3" xfId="0" applyFont="1" applyBorder="1" applyAlignment="1">
      <alignment vertical="center"/>
    </xf>
    <xf numFmtId="0" fontId="11" fillId="0" borderId="0" xfId="0" applyFont="1" applyAlignment="1">
      <alignment vertical="center"/>
    </xf>
    <xf numFmtId="0" fontId="26" fillId="0" borderId="0" xfId="0" applyFont="1" applyAlignment="1">
      <alignment horizontal="right" vertical="center"/>
    </xf>
    <xf numFmtId="0" fontId="26" fillId="0" borderId="0" xfId="0" applyFont="1" applyAlignment="1">
      <alignment horizontal="center" vertical="center"/>
    </xf>
    <xf numFmtId="0" fontId="27" fillId="5" borderId="2" xfId="0" applyFont="1" applyFill="1" applyBorder="1" applyAlignment="1">
      <alignment horizontal="center" vertical="center" wrapText="1"/>
    </xf>
    <xf numFmtId="0" fontId="27" fillId="5" borderId="2" xfId="0" applyFont="1" applyFill="1" applyBorder="1" applyAlignment="1">
      <alignment vertical="center" wrapText="1"/>
    </xf>
    <xf numFmtId="0" fontId="27" fillId="5" borderId="2" xfId="0" applyFont="1" applyFill="1" applyBorder="1" applyAlignment="1">
      <alignment horizontal="center" vertical="center" textRotation="90" wrapText="1"/>
    </xf>
    <xf numFmtId="0" fontId="11" fillId="0" borderId="2" xfId="0" applyFont="1" applyBorder="1" applyAlignment="1">
      <alignment vertical="center"/>
    </xf>
    <xf numFmtId="0" fontId="25" fillId="0" borderId="2" xfId="8" applyFont="1" applyBorder="1" applyAlignment="1">
      <alignment horizontal="center" vertical="center" wrapText="1"/>
    </xf>
    <xf numFmtId="0" fontId="25" fillId="0" borderId="2" xfId="9" applyFont="1" applyBorder="1" applyAlignment="1">
      <alignment horizontal="center" vertical="center" wrapText="1"/>
    </xf>
    <xf numFmtId="0" fontId="11" fillId="0" borderId="2" xfId="0" applyFont="1" applyBorder="1" applyAlignment="1">
      <alignment horizontal="justify" vertical="center" wrapText="1"/>
    </xf>
    <xf numFmtId="0" fontId="11" fillId="0" borderId="2" xfId="0" applyFont="1" applyBorder="1" applyAlignment="1">
      <alignment horizontal="center" vertical="center" wrapText="1"/>
    </xf>
    <xf numFmtId="0" fontId="25" fillId="0" borderId="2" xfId="8" applyFont="1" applyBorder="1" applyAlignment="1">
      <alignment horizontal="left" vertical="center" wrapText="1"/>
    </xf>
    <xf numFmtId="0" fontId="25" fillId="0" borderId="2" xfId="0" applyFont="1" applyBorder="1" applyAlignment="1">
      <alignment horizontal="center" vertical="center" wrapText="1"/>
    </xf>
    <xf numFmtId="0" fontId="11" fillId="0" borderId="2" xfId="0" applyFont="1" applyBorder="1" applyAlignment="1">
      <alignment horizontal="left" vertical="center" wrapText="1"/>
    </xf>
    <xf numFmtId="0" fontId="11" fillId="0" borderId="0" xfId="0" applyFont="1" applyAlignment="1">
      <alignment vertical="top" wrapText="1"/>
    </xf>
    <xf numFmtId="0" fontId="10" fillId="12" borderId="2" xfId="0" applyFont="1" applyFill="1" applyBorder="1" applyAlignment="1">
      <alignment horizontal="center" vertical="center" wrapText="1"/>
    </xf>
    <xf numFmtId="165" fontId="25" fillId="0" borderId="2" xfId="15" applyFont="1" applyBorder="1" applyAlignment="1">
      <alignment horizontal="center" vertical="center" wrapText="1"/>
    </xf>
    <xf numFmtId="0" fontId="24" fillId="0" borderId="2" xfId="9" applyFont="1" applyBorder="1" applyAlignment="1" applyProtection="1">
      <alignment horizontal="left" vertical="center" wrapText="1"/>
      <protection locked="0"/>
    </xf>
    <xf numFmtId="0" fontId="24" fillId="0" borderId="2" xfId="0" applyFont="1" applyBorder="1" applyAlignment="1">
      <alignment horizontal="left" vertical="center" wrapText="1"/>
    </xf>
    <xf numFmtId="0" fontId="25" fillId="0" borderId="2" xfId="15" applyNumberFormat="1" applyFont="1" applyBorder="1" applyAlignment="1">
      <alignment horizontal="center" vertical="center" wrapText="1"/>
    </xf>
    <xf numFmtId="0" fontId="25" fillId="7" borderId="2" xfId="0" applyFont="1" applyFill="1" applyBorder="1" applyAlignment="1">
      <alignment horizontal="center" vertical="center" wrapText="1"/>
    </xf>
    <xf numFmtId="0" fontId="24" fillId="7" borderId="2" xfId="0" applyFont="1" applyFill="1" applyBorder="1" applyAlignment="1">
      <alignment horizontal="left" vertical="center" wrapText="1"/>
    </xf>
    <xf numFmtId="0" fontId="24" fillId="0" borderId="2" xfId="0" applyFont="1" applyBorder="1" applyAlignment="1" applyProtection="1">
      <alignment horizontal="left" vertical="center" wrapText="1"/>
      <protection locked="0"/>
    </xf>
    <xf numFmtId="0" fontId="25" fillId="0" borderId="2" xfId="9" applyFont="1" applyBorder="1" applyAlignment="1" applyProtection="1">
      <alignment horizontal="left" vertical="center" wrapText="1"/>
      <protection locked="0"/>
    </xf>
    <xf numFmtId="0" fontId="25" fillId="0" borderId="2" xfId="0" applyFont="1" applyBorder="1" applyAlignment="1">
      <alignment horizontal="left" vertical="center" wrapText="1"/>
    </xf>
    <xf numFmtId="0" fontId="25" fillId="0" borderId="2" xfId="9" applyFont="1" applyBorder="1" applyAlignment="1">
      <alignment horizontal="left" vertical="center" wrapText="1"/>
    </xf>
    <xf numFmtId="0" fontId="25" fillId="0" borderId="0" xfId="0" applyFont="1" applyAlignment="1">
      <alignment horizontal="center" vertical="center"/>
    </xf>
    <xf numFmtId="0" fontId="11" fillId="0" borderId="0" xfId="0" applyFont="1" applyAlignment="1">
      <alignment horizontal="center" vertical="center" wrapText="1"/>
    </xf>
    <xf numFmtId="0" fontId="28" fillId="0" borderId="2" xfId="0" applyFont="1" applyBorder="1" applyAlignment="1">
      <alignment wrapText="1" shrinkToFit="1"/>
    </xf>
    <xf numFmtId="0" fontId="28" fillId="0" borderId="2" xfId="0" applyFont="1" applyBorder="1"/>
    <xf numFmtId="164" fontId="19" fillId="0" borderId="2" xfId="1" applyFont="1" applyBorder="1"/>
    <xf numFmtId="0" fontId="28" fillId="0" borderId="2" xfId="0" applyFont="1" applyBorder="1" applyAlignment="1">
      <alignment wrapText="1"/>
    </xf>
    <xf numFmtId="0" fontId="28" fillId="0" borderId="2" xfId="0" applyFont="1" applyBorder="1" applyAlignment="1">
      <alignment shrinkToFit="1"/>
    </xf>
    <xf numFmtId="0" fontId="0" fillId="0" borderId="2" xfId="0" applyBorder="1" applyAlignment="1">
      <alignment shrinkToFit="1"/>
    </xf>
    <xf numFmtId="0" fontId="25" fillId="0" borderId="2" xfId="9" applyFont="1" applyBorder="1" applyAlignment="1" applyProtection="1">
      <alignment horizontal="center" vertical="center" wrapText="1"/>
      <protection locked="0"/>
    </xf>
    <xf numFmtId="0" fontId="25" fillId="0" borderId="2" xfId="8" applyFont="1" applyBorder="1" applyAlignment="1">
      <alignment horizontal="center" vertical="center"/>
    </xf>
    <xf numFmtId="0" fontId="27" fillId="5" borderId="3" xfId="0" applyFont="1" applyFill="1" applyBorder="1" applyAlignment="1">
      <alignment vertical="center" wrapText="1"/>
    </xf>
    <xf numFmtId="0" fontId="10" fillId="5" borderId="2" xfId="0" applyFont="1" applyFill="1" applyBorder="1" applyAlignment="1">
      <alignment vertical="center" wrapText="1"/>
    </xf>
    <xf numFmtId="0" fontId="1" fillId="9" borderId="5" xfId="9" applyFill="1" applyBorder="1" applyAlignment="1">
      <alignment horizontal="center"/>
    </xf>
    <xf numFmtId="0" fontId="1" fillId="9" borderId="6" xfId="9" applyFill="1" applyBorder="1" applyAlignment="1">
      <alignment horizontal="center"/>
    </xf>
    <xf numFmtId="0" fontId="1" fillId="9" borderId="7" xfId="9" applyFill="1" applyBorder="1" applyAlignment="1">
      <alignment horizontal="center"/>
    </xf>
    <xf numFmtId="0" fontId="1" fillId="9" borderId="8" xfId="9" applyFill="1" applyBorder="1" applyAlignment="1">
      <alignment horizontal="center"/>
    </xf>
    <xf numFmtId="0" fontId="1" fillId="9" borderId="10" xfId="9" applyFill="1" applyBorder="1" applyAlignment="1">
      <alignment horizontal="center"/>
    </xf>
    <xf numFmtId="0" fontId="1" fillId="9" borderId="9" xfId="9" applyFill="1" applyBorder="1" applyAlignment="1">
      <alignment horizontal="center"/>
    </xf>
    <xf numFmtId="0" fontId="1" fillId="9" borderId="12" xfId="9" applyFill="1" applyBorder="1" applyAlignment="1">
      <alignment horizontal="center"/>
    </xf>
    <xf numFmtId="0" fontId="13" fillId="0" borderId="0" xfId="9" applyFont="1" applyAlignment="1">
      <alignment horizontal="center" wrapText="1"/>
    </xf>
    <xf numFmtId="0" fontId="13" fillId="0" borderId="0" xfId="9" applyFont="1" applyAlignment="1">
      <alignment horizontal="center"/>
    </xf>
    <xf numFmtId="0" fontId="1" fillId="9" borderId="11" xfId="9" applyFill="1" applyBorder="1" applyAlignment="1">
      <alignment horizontal="center"/>
    </xf>
    <xf numFmtId="0" fontId="17" fillId="0" borderId="13" xfId="43" quotePrefix="1" applyBorder="1" applyAlignment="1">
      <alignment horizontal="left" vertical="center" wrapText="1"/>
    </xf>
    <xf numFmtId="0" fontId="17" fillId="0" borderId="14" xfId="43" applyBorder="1" applyAlignment="1">
      <alignment horizontal="left" vertical="center" wrapText="1"/>
    </xf>
    <xf numFmtId="0" fontId="18" fillId="0" borderId="13" xfId="43" quotePrefix="1" applyFont="1" applyBorder="1" applyAlignment="1">
      <alignment horizontal="left" vertical="center"/>
    </xf>
    <xf numFmtId="0" fontId="18" fillId="0" borderId="14" xfId="43" applyFont="1" applyBorder="1" applyAlignment="1">
      <alignment horizontal="left" vertical="center"/>
    </xf>
    <xf numFmtId="0" fontId="17" fillId="0" borderId="13" xfId="43" quotePrefix="1" applyBorder="1" applyAlignment="1">
      <alignment horizontal="left" vertical="center"/>
    </xf>
    <xf numFmtId="0" fontId="17" fillId="0" borderId="14" xfId="43" applyBorder="1" applyAlignment="1">
      <alignment horizontal="left" vertical="center"/>
    </xf>
    <xf numFmtId="0" fontId="14" fillId="0" borderId="13" xfId="9" applyFont="1" applyBorder="1" applyAlignment="1">
      <alignment horizontal="center" vertical="center" wrapText="1"/>
    </xf>
    <xf numFmtId="0" fontId="14" fillId="0" borderId="14" xfId="9" applyFont="1" applyBorder="1" applyAlignment="1">
      <alignment horizontal="center" vertical="center" wrapText="1"/>
    </xf>
    <xf numFmtId="0" fontId="14" fillId="0" borderId="5" xfId="9" applyFont="1" applyBorder="1" applyAlignment="1">
      <alignment horizontal="left" vertical="center" wrapText="1"/>
    </xf>
    <xf numFmtId="0" fontId="14" fillId="0" borderId="6" xfId="9" applyFont="1" applyBorder="1" applyAlignment="1">
      <alignment horizontal="left" vertical="center" wrapText="1"/>
    </xf>
    <xf numFmtId="0" fontId="14" fillId="0" borderId="7" xfId="9" applyFont="1" applyBorder="1" applyAlignment="1">
      <alignment horizontal="left" vertical="center" wrapText="1"/>
    </xf>
    <xf numFmtId="0" fontId="14" fillId="0" borderId="10" xfId="9" applyFont="1" applyBorder="1" applyAlignment="1">
      <alignment horizontal="left" vertical="center" wrapText="1"/>
    </xf>
    <xf numFmtId="0" fontId="14" fillId="0" borderId="11" xfId="9" applyFont="1" applyBorder="1" applyAlignment="1">
      <alignment horizontal="left" vertical="center" wrapText="1"/>
    </xf>
    <xf numFmtId="0" fontId="14" fillId="0" borderId="12" xfId="9" applyFont="1" applyBorder="1" applyAlignment="1">
      <alignment horizontal="left" vertical="center" wrapText="1"/>
    </xf>
    <xf numFmtId="0" fontId="3" fillId="0" borderId="6" xfId="2" applyBorder="1" applyAlignment="1">
      <alignment horizontal="left" vertical="center" wrapText="1"/>
    </xf>
    <xf numFmtId="0" fontId="3" fillId="0" borderId="7" xfId="2" applyBorder="1" applyAlignment="1">
      <alignment horizontal="left" vertical="center" wrapText="1"/>
    </xf>
    <xf numFmtId="0" fontId="3" fillId="0" borderId="10" xfId="2" applyBorder="1" applyAlignment="1">
      <alignment horizontal="left" vertical="center" wrapText="1"/>
    </xf>
    <xf numFmtId="0" fontId="3" fillId="0" borderId="11" xfId="2" applyBorder="1" applyAlignment="1">
      <alignment horizontal="left" vertical="center" wrapText="1"/>
    </xf>
    <xf numFmtId="0" fontId="3" fillId="0" borderId="12" xfId="2" applyBorder="1" applyAlignment="1">
      <alignment horizontal="left" vertical="center" wrapText="1"/>
    </xf>
    <xf numFmtId="0" fontId="15" fillId="5" borderId="5" xfId="9" applyFont="1" applyFill="1" applyBorder="1" applyAlignment="1">
      <alignment horizontal="center" vertical="top" wrapText="1"/>
    </xf>
    <xf numFmtId="0" fontId="15" fillId="5" borderId="6" xfId="9" applyFont="1" applyFill="1" applyBorder="1" applyAlignment="1">
      <alignment horizontal="center" vertical="top" wrapText="1"/>
    </xf>
    <xf numFmtId="0" fontId="15" fillId="5" borderId="7" xfId="9" applyFont="1" applyFill="1" applyBorder="1" applyAlignment="1">
      <alignment horizontal="center" vertical="top" wrapText="1"/>
    </xf>
    <xf numFmtId="0" fontId="15" fillId="5" borderId="10" xfId="9" applyFont="1" applyFill="1" applyBorder="1" applyAlignment="1">
      <alignment horizontal="center" vertical="top" wrapText="1"/>
    </xf>
    <xf numFmtId="0" fontId="15" fillId="5" borderId="11" xfId="9" applyFont="1" applyFill="1" applyBorder="1" applyAlignment="1">
      <alignment horizontal="center" vertical="top" wrapText="1"/>
    </xf>
    <xf numFmtId="0" fontId="15" fillId="5" borderId="12" xfId="9" applyFont="1" applyFill="1" applyBorder="1" applyAlignment="1">
      <alignment horizontal="center" vertical="top" wrapText="1"/>
    </xf>
    <xf numFmtId="0" fontId="16" fillId="9" borderId="13" xfId="9" applyFont="1" applyFill="1" applyBorder="1" applyAlignment="1">
      <alignment horizontal="center" vertical="top" wrapText="1"/>
    </xf>
    <xf numFmtId="0" fontId="16" fillId="9" borderId="14" xfId="9" applyFont="1" applyFill="1" applyBorder="1" applyAlignment="1">
      <alignment horizontal="center" vertical="top" wrapText="1"/>
    </xf>
    <xf numFmtId="0" fontId="16" fillId="9" borderId="5" xfId="9" applyFont="1" applyFill="1" applyBorder="1" applyAlignment="1">
      <alignment horizontal="center" vertical="top" wrapText="1"/>
    </xf>
    <xf numFmtId="0" fontId="16" fillId="9" borderId="6" xfId="9" applyFont="1" applyFill="1" applyBorder="1" applyAlignment="1">
      <alignment horizontal="center" vertical="top" wrapText="1"/>
    </xf>
    <xf numFmtId="0" fontId="16" fillId="9" borderId="7" xfId="9" applyFont="1" applyFill="1" applyBorder="1" applyAlignment="1">
      <alignment horizontal="center" vertical="top" wrapText="1"/>
    </xf>
    <xf numFmtId="0" fontId="16" fillId="9" borderId="10" xfId="9" applyFont="1" applyFill="1" applyBorder="1" applyAlignment="1">
      <alignment horizontal="center" vertical="top" wrapText="1"/>
    </xf>
    <xf numFmtId="0" fontId="16" fillId="9" borderId="11" xfId="9" applyFont="1" applyFill="1" applyBorder="1" applyAlignment="1">
      <alignment horizontal="center" vertical="top" wrapText="1"/>
    </xf>
    <xf numFmtId="0" fontId="16" fillId="9" borderId="12" xfId="9" applyFont="1" applyFill="1" applyBorder="1" applyAlignment="1">
      <alignment horizontal="center" vertical="top" wrapText="1"/>
    </xf>
    <xf numFmtId="0" fontId="17" fillId="0" borderId="14" xfId="43" quotePrefix="1" applyBorder="1" applyAlignment="1">
      <alignment horizontal="left" vertical="center"/>
    </xf>
    <xf numFmtId="169" fontId="20" fillId="0" borderId="3" xfId="0" applyNumberFormat="1" applyFont="1" applyBorder="1" applyAlignment="1">
      <alignment horizontal="center" vertical="center"/>
    </xf>
    <xf numFmtId="169" fontId="20" fillId="0" borderId="4" xfId="0" applyNumberFormat="1" applyFont="1" applyBorder="1" applyAlignment="1">
      <alignment horizontal="center" vertical="center"/>
    </xf>
    <xf numFmtId="0" fontId="27" fillId="5" borderId="2" xfId="0" applyFont="1" applyFill="1" applyBorder="1" applyAlignment="1">
      <alignment horizontal="center" vertical="center" wrapText="1"/>
    </xf>
    <xf numFmtId="0" fontId="10" fillId="4" borderId="0" xfId="0" applyFont="1" applyFill="1" applyAlignment="1">
      <alignment horizontal="left" vertical="center"/>
    </xf>
    <xf numFmtId="0" fontId="10" fillId="12" borderId="2" xfId="0" applyFont="1" applyFill="1" applyBorder="1" applyAlignment="1">
      <alignment horizontal="center" vertical="center" wrapText="1"/>
    </xf>
    <xf numFmtId="0" fontId="10" fillId="4" borderId="0" xfId="0" applyFont="1" applyFill="1" applyAlignment="1">
      <alignment horizontal="left"/>
    </xf>
    <xf numFmtId="0" fontId="10" fillId="7" borderId="0" xfId="9" applyFont="1" applyFill="1" applyAlignment="1">
      <alignment horizontal="center"/>
    </xf>
    <xf numFmtId="0" fontId="11" fillId="7" borderId="5" xfId="9" applyFont="1" applyFill="1" applyBorder="1" applyAlignment="1">
      <alignment horizontal="left" vertical="top" wrapText="1"/>
    </xf>
    <xf numFmtId="0" fontId="11" fillId="7" borderId="6" xfId="9" applyFont="1" applyFill="1" applyBorder="1" applyAlignment="1">
      <alignment horizontal="left" vertical="top" wrapText="1"/>
    </xf>
    <xf numFmtId="0" fontId="11" fillId="7" borderId="7" xfId="9" applyFont="1" applyFill="1" applyBorder="1" applyAlignment="1">
      <alignment horizontal="left" vertical="top" wrapText="1"/>
    </xf>
    <xf numFmtId="0" fontId="11" fillId="7" borderId="8" xfId="9" applyFont="1" applyFill="1" applyBorder="1" applyAlignment="1">
      <alignment horizontal="left" vertical="top" wrapText="1"/>
    </xf>
    <xf numFmtId="0" fontId="11" fillId="7" borderId="0" xfId="9" applyFont="1" applyFill="1" applyAlignment="1">
      <alignment horizontal="left" vertical="top" wrapText="1"/>
    </xf>
    <xf numFmtId="0" fontId="11" fillId="7" borderId="9" xfId="9" applyFont="1" applyFill="1" applyBorder="1" applyAlignment="1">
      <alignment horizontal="left" vertical="top" wrapText="1"/>
    </xf>
    <xf numFmtId="0" fontId="11" fillId="7" borderId="10" xfId="9" applyFont="1" applyFill="1" applyBorder="1" applyAlignment="1">
      <alignment horizontal="left" vertical="top" wrapText="1"/>
    </xf>
    <xf numFmtId="0" fontId="11" fillId="7" borderId="11" xfId="9" applyFont="1" applyFill="1" applyBorder="1" applyAlignment="1">
      <alignment horizontal="left" vertical="top" wrapText="1"/>
    </xf>
    <xf numFmtId="0" fontId="11" fillId="7" borderId="12" xfId="9" applyFont="1" applyFill="1" applyBorder="1" applyAlignment="1">
      <alignment horizontal="left" vertical="top" wrapText="1"/>
    </xf>
  </cellXfs>
  <cellStyles count="45">
    <cellStyle name="Comma" xfId="1" builtinId="3"/>
    <cellStyle name="Comma 2" xfId="10" xr:uid="{00000000-0005-0000-0000-000001000000}"/>
    <cellStyle name="Comma 3" xfId="27" xr:uid="{00000000-0005-0000-0000-000002000000}"/>
    <cellStyle name="Comma 4" xfId="28" xr:uid="{00000000-0005-0000-0000-000003000000}"/>
    <cellStyle name="Hyperlink" xfId="43" builtinId="8"/>
    <cellStyle name="Hyperlink 2" xfId="29" xr:uid="{00000000-0005-0000-0000-000005000000}"/>
    <cellStyle name="Nor}al" xfId="3" xr:uid="{00000000-0005-0000-0000-000006000000}"/>
    <cellStyle name="Nor}al 2" xfId="11" xr:uid="{00000000-0005-0000-0000-000007000000}"/>
    <cellStyle name="Nor}al 2 2" xfId="4" xr:uid="{00000000-0005-0000-0000-000008000000}"/>
    <cellStyle name="Nor}al 3" xfId="30" xr:uid="{00000000-0005-0000-0000-000009000000}"/>
    <cellStyle name="Normal" xfId="0" builtinId="0"/>
    <cellStyle name="Normal 2" xfId="2" xr:uid="{00000000-0005-0000-0000-00000B000000}"/>
    <cellStyle name="Normal 2 2" xfId="9" xr:uid="{00000000-0005-0000-0000-00000C000000}"/>
    <cellStyle name="Normal 2 2 2" xfId="12" xr:uid="{00000000-0005-0000-0000-00000D000000}"/>
    <cellStyle name="Normal 2 2 2 2" xfId="31" xr:uid="{00000000-0005-0000-0000-00000E000000}"/>
    <cellStyle name="Normal 2 2 3" xfId="32" xr:uid="{00000000-0005-0000-0000-00000F000000}"/>
    <cellStyle name="Normal 2 3" xfId="13" xr:uid="{00000000-0005-0000-0000-000010000000}"/>
    <cellStyle name="Normal 2 3 2" xfId="33" xr:uid="{00000000-0005-0000-0000-000011000000}"/>
    <cellStyle name="Normal 2 4" xfId="34" xr:uid="{00000000-0005-0000-0000-000012000000}"/>
    <cellStyle name="Normal 2 5" xfId="35" xr:uid="{00000000-0005-0000-0000-000013000000}"/>
    <cellStyle name="Normal 2 6" xfId="36" xr:uid="{00000000-0005-0000-0000-000014000000}"/>
    <cellStyle name="Normal 3" xfId="7" xr:uid="{00000000-0005-0000-0000-000015000000}"/>
    <cellStyle name="Normal 3 2" xfId="14" xr:uid="{00000000-0005-0000-0000-000016000000}"/>
    <cellStyle name="Normal 3 2 2" xfId="37" xr:uid="{00000000-0005-0000-0000-000017000000}"/>
    <cellStyle name="Normal 3 3" xfId="38" xr:uid="{00000000-0005-0000-0000-000018000000}"/>
    <cellStyle name="Normal 4" xfId="15" xr:uid="{00000000-0005-0000-0000-000019000000}"/>
    <cellStyle name="Normal 5" xfId="5" xr:uid="{00000000-0005-0000-0000-00001A000000}"/>
    <cellStyle name="Normal 6" xfId="16" xr:uid="{00000000-0005-0000-0000-00001B000000}"/>
    <cellStyle name="Normal 6 2 2" xfId="6" xr:uid="{00000000-0005-0000-0000-00001C000000}"/>
    <cellStyle name="Normal 7" xfId="39" xr:uid="{00000000-0005-0000-0000-00001D000000}"/>
    <cellStyle name="Normal 9" xfId="17" xr:uid="{00000000-0005-0000-0000-00001E000000}"/>
    <cellStyle name="Normal_Optimized PPE RACM" xfId="8" xr:uid="{00000000-0005-0000-0000-00001F000000}"/>
    <cellStyle name="Note 2" xfId="18" xr:uid="{00000000-0005-0000-0000-000020000000}"/>
    <cellStyle name="Note 2 2" xfId="40" xr:uid="{00000000-0005-0000-0000-000021000000}"/>
    <cellStyle name="Percent" xfId="44" builtinId="5"/>
    <cellStyle name="Percent 2" xfId="19" xr:uid="{00000000-0005-0000-0000-000023000000}"/>
    <cellStyle name="Percent 3" xfId="41" xr:uid="{00000000-0005-0000-0000-000024000000}"/>
    <cellStyle name="Percent 4" xfId="42" xr:uid="{00000000-0005-0000-0000-000025000000}"/>
    <cellStyle name="Style 1" xfId="20" xr:uid="{00000000-0005-0000-0000-000026000000}"/>
    <cellStyle name="パーセント()" xfId="21" xr:uid="{00000000-0005-0000-0000-000027000000}"/>
    <cellStyle name="パーセント(0.00)" xfId="22" xr:uid="{00000000-0005-0000-0000-000028000000}"/>
    <cellStyle name="パーセント[0.00]" xfId="23" xr:uid="{00000000-0005-0000-0000-000029000000}"/>
    <cellStyle name="折り返し" xfId="24" xr:uid="{00000000-0005-0000-0000-00002A000000}"/>
    <cellStyle name="標準_37 税務テスト調書_課題報告書" xfId="25" xr:uid="{00000000-0005-0000-0000-00002B000000}"/>
    <cellStyle name="見出し１" xfId="26" xr:uid="{00000000-0005-0000-0000-00002C000000}"/>
  </cellStyles>
  <dxfs count="22">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ont>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2</xdr:row>
      <xdr:rowOff>19050</xdr:rowOff>
    </xdr:from>
    <xdr:to>
      <xdr:col>8</xdr:col>
      <xdr:colOff>590550</xdr:colOff>
      <xdr:row>14</xdr:row>
      <xdr:rowOff>152400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76300" y="409575"/>
          <a:ext cx="4229100" cy="24193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Work/Hindalco/IFC%20Controls%20Testing/2015-16/Working%20Papers/Hindalco%20RACM/RACMs%2024%20Aug%202015/Production.xlsx" TargetMode="External"/><Relationship Id="rId1" Type="http://schemas.openxmlformats.org/officeDocument/2006/relationships/externalLinkPath" Target="/Work/Hindalco/IFC%20Controls%20Testing/2015-16/Working%20Papers/Hindalco%20RACM/RACMs%2024%20Aug%202015/Produc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Sheet3"/>
      <sheetName val="Sheet2"/>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showGridLines="0" topLeftCell="A20" zoomScaleNormal="100" zoomScaleSheetLayoutView="53" workbookViewId="0"/>
  </sheetViews>
  <sheetFormatPr defaultRowHeight="15"/>
  <cols>
    <col min="1" max="1" width="3.7109375" style="10" customWidth="1"/>
    <col min="2" max="10" width="9.140625" style="10"/>
    <col min="11" max="11" width="3.7109375" style="10" customWidth="1"/>
    <col min="12" max="16384" width="9.140625" style="10"/>
  </cols>
  <sheetData>
    <row r="1" spans="1:11" ht="15.75" thickBot="1">
      <c r="A1" s="9"/>
      <c r="K1" s="11"/>
    </row>
    <row r="2" spans="1:11">
      <c r="A2" s="9"/>
      <c r="B2" s="104"/>
      <c r="C2" s="105"/>
      <c r="D2" s="105"/>
      <c r="E2" s="105"/>
      <c r="F2" s="105"/>
      <c r="G2" s="105"/>
      <c r="H2" s="105"/>
      <c r="I2" s="105"/>
      <c r="J2" s="106"/>
      <c r="K2" s="11"/>
    </row>
    <row r="3" spans="1:11">
      <c r="A3" s="9"/>
      <c r="B3" s="107"/>
      <c r="C3" s="12"/>
      <c r="D3" s="12"/>
      <c r="E3" s="12"/>
      <c r="F3" s="12"/>
      <c r="G3" s="12"/>
      <c r="H3" s="12"/>
      <c r="I3" s="12"/>
      <c r="J3" s="109"/>
      <c r="K3" s="11"/>
    </row>
    <row r="4" spans="1:11">
      <c r="A4" s="9"/>
      <c r="B4" s="107"/>
      <c r="C4" s="12"/>
      <c r="D4" s="12"/>
      <c r="E4" s="12"/>
      <c r="F4" s="12"/>
      <c r="G4" s="12"/>
      <c r="H4" s="12"/>
      <c r="I4" s="12"/>
      <c r="J4" s="109"/>
      <c r="K4" s="11"/>
    </row>
    <row r="5" spans="1:11">
      <c r="A5" s="9"/>
      <c r="B5" s="107"/>
      <c r="C5" s="12"/>
      <c r="D5" s="12"/>
      <c r="E5" s="12"/>
      <c r="F5" s="12"/>
      <c r="G5" s="12"/>
      <c r="H5" s="12"/>
      <c r="I5" s="12"/>
      <c r="J5" s="109"/>
      <c r="K5" s="11"/>
    </row>
    <row r="6" spans="1:11">
      <c r="A6" s="9"/>
      <c r="B6" s="107"/>
      <c r="C6" s="12"/>
      <c r="D6" s="12"/>
      <c r="E6" s="12"/>
      <c r="F6" s="12"/>
      <c r="G6" s="12"/>
      <c r="H6" s="12"/>
      <c r="I6" s="12"/>
      <c r="J6" s="109"/>
      <c r="K6" s="11"/>
    </row>
    <row r="7" spans="1:11">
      <c r="A7" s="9"/>
      <c r="B7" s="107"/>
      <c r="C7" s="12"/>
      <c r="D7" s="12"/>
      <c r="E7" s="12"/>
      <c r="F7" s="12"/>
      <c r="G7" s="12"/>
      <c r="H7" s="12"/>
      <c r="I7" s="12"/>
      <c r="J7" s="109"/>
      <c r="K7" s="11"/>
    </row>
    <row r="8" spans="1:11">
      <c r="A8" s="9"/>
      <c r="B8" s="107"/>
      <c r="C8" s="12"/>
      <c r="D8" s="12"/>
      <c r="E8" s="12"/>
      <c r="F8" s="12"/>
      <c r="G8" s="12"/>
      <c r="H8" s="12"/>
      <c r="I8" s="12"/>
      <c r="J8" s="109"/>
      <c r="K8" s="11"/>
    </row>
    <row r="9" spans="1:11">
      <c r="A9" s="9"/>
      <c r="B9" s="107"/>
      <c r="C9" s="12"/>
      <c r="D9" s="12"/>
      <c r="E9" s="12"/>
      <c r="F9" s="12"/>
      <c r="G9" s="12"/>
      <c r="H9" s="12"/>
      <c r="I9" s="12"/>
      <c r="J9" s="109"/>
      <c r="K9" s="11"/>
    </row>
    <row r="10" spans="1:11">
      <c r="A10" s="9"/>
      <c r="B10" s="107"/>
      <c r="C10" s="12"/>
      <c r="D10" s="12"/>
      <c r="E10" s="12"/>
      <c r="F10" s="12"/>
      <c r="G10" s="12"/>
      <c r="H10" s="12"/>
      <c r="I10" s="12"/>
      <c r="J10" s="109"/>
      <c r="K10" s="11"/>
    </row>
    <row r="11" spans="1:11">
      <c r="A11" s="9"/>
      <c r="B11" s="107"/>
      <c r="C11" s="12"/>
      <c r="D11" s="12"/>
      <c r="E11" s="12"/>
      <c r="F11" s="12"/>
      <c r="G11" s="12"/>
      <c r="H11" s="12"/>
      <c r="I11" s="12"/>
      <c r="J11" s="109"/>
      <c r="K11" s="11"/>
    </row>
    <row r="12" spans="1:11">
      <c r="A12" s="9"/>
      <c r="B12" s="107"/>
      <c r="C12" s="12"/>
      <c r="D12" s="12"/>
      <c r="E12" s="12"/>
      <c r="F12" s="12"/>
      <c r="G12" s="12"/>
      <c r="H12" s="12"/>
      <c r="I12" s="12"/>
      <c r="J12" s="109"/>
      <c r="K12" s="11"/>
    </row>
    <row r="13" spans="1:11">
      <c r="A13" s="9"/>
      <c r="B13" s="107"/>
      <c r="C13" s="12"/>
      <c r="D13" s="12"/>
      <c r="E13" s="12"/>
      <c r="F13" s="12"/>
      <c r="G13" s="12"/>
      <c r="H13" s="12"/>
      <c r="I13" s="12"/>
      <c r="J13" s="109"/>
      <c r="K13" s="11"/>
    </row>
    <row r="14" spans="1:11">
      <c r="A14" s="9"/>
      <c r="B14" s="107"/>
      <c r="C14" s="12"/>
      <c r="D14" s="12"/>
      <c r="E14" s="12"/>
      <c r="F14" s="12"/>
      <c r="G14" s="12"/>
      <c r="H14" s="12"/>
      <c r="I14" s="12"/>
      <c r="J14" s="109"/>
      <c r="K14" s="11"/>
    </row>
    <row r="15" spans="1:11">
      <c r="A15" s="9"/>
      <c r="B15" s="107"/>
      <c r="C15" s="111" t="s">
        <v>0</v>
      </c>
      <c r="D15" s="111"/>
      <c r="E15" s="111"/>
      <c r="F15" s="111"/>
      <c r="G15" s="111"/>
      <c r="H15" s="111"/>
      <c r="I15" s="111"/>
      <c r="J15" s="109"/>
      <c r="K15" s="11"/>
    </row>
    <row r="16" spans="1:11" ht="21.75" customHeight="1">
      <c r="A16" s="9"/>
      <c r="B16" s="107"/>
      <c r="C16" s="111"/>
      <c r="D16" s="111"/>
      <c r="E16" s="111"/>
      <c r="F16" s="111"/>
      <c r="G16" s="111"/>
      <c r="H16" s="111"/>
      <c r="I16" s="111"/>
      <c r="J16" s="109"/>
      <c r="K16" s="11"/>
    </row>
    <row r="17" spans="1:11">
      <c r="A17" s="9"/>
      <c r="B17" s="107"/>
      <c r="C17" s="112" t="s">
        <v>1</v>
      </c>
      <c r="D17" s="112"/>
      <c r="E17" s="112"/>
      <c r="F17" s="112"/>
      <c r="G17" s="112"/>
      <c r="H17" s="112"/>
      <c r="I17" s="112"/>
      <c r="J17" s="109"/>
      <c r="K17" s="11"/>
    </row>
    <row r="18" spans="1:11">
      <c r="A18" s="9"/>
      <c r="B18" s="107"/>
      <c r="C18" s="112"/>
      <c r="D18" s="112"/>
      <c r="E18" s="112"/>
      <c r="F18" s="112"/>
      <c r="G18" s="112"/>
      <c r="H18" s="112"/>
      <c r="I18" s="112"/>
      <c r="J18" s="109"/>
      <c r="K18" s="11"/>
    </row>
    <row r="19" spans="1:11">
      <c r="A19" s="9"/>
      <c r="B19" s="107"/>
      <c r="C19" s="12"/>
      <c r="D19" s="12"/>
      <c r="E19" s="12"/>
      <c r="F19" s="12"/>
      <c r="G19" s="12"/>
      <c r="H19" s="12"/>
      <c r="I19" s="12"/>
      <c r="J19" s="109"/>
      <c r="K19" s="11"/>
    </row>
    <row r="20" spans="1:11" ht="15.75" thickBot="1">
      <c r="A20" s="9"/>
      <c r="B20" s="108"/>
      <c r="C20" s="113"/>
      <c r="D20" s="113"/>
      <c r="E20" s="113"/>
      <c r="F20" s="113"/>
      <c r="G20" s="113"/>
      <c r="H20" s="113"/>
      <c r="I20" s="113"/>
      <c r="J20" s="110"/>
      <c r="K20" s="11"/>
    </row>
    <row r="21" spans="1:11" ht="15.75" thickBot="1">
      <c r="A21" s="13"/>
      <c r="B21" s="14"/>
      <c r="C21" s="14"/>
      <c r="D21" s="14"/>
      <c r="E21" s="14"/>
      <c r="F21" s="14"/>
      <c r="G21" s="14"/>
      <c r="H21" s="14"/>
      <c r="I21" s="14"/>
      <c r="J21" s="14"/>
      <c r="K21" s="15"/>
    </row>
  </sheetData>
  <mergeCells count="6">
    <mergeCell ref="B2:J2"/>
    <mergeCell ref="B3:B20"/>
    <mergeCell ref="J3:J20"/>
    <mergeCell ref="C15:I16"/>
    <mergeCell ref="C17:I18"/>
    <mergeCell ref="C20:I20"/>
  </mergeCells>
  <pageMargins left="0.7" right="0.7" top="0.75" bottom="0.75" header="0.3" footer="0.3"/>
  <pageSetup paperSize="9" scale="7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19"/>
  <sheetViews>
    <sheetView showGridLines="0" zoomScale="75" zoomScaleNormal="75" zoomScaleSheetLayoutView="62" workbookViewId="0"/>
  </sheetViews>
  <sheetFormatPr defaultRowHeight="15"/>
  <cols>
    <col min="1" max="2" width="9.140625" style="16"/>
    <col min="3" max="3" width="10.7109375" style="16" customWidth="1"/>
    <col min="4" max="7" width="9.140625" style="16"/>
    <col min="8" max="8" width="14" style="16" customWidth="1"/>
    <col min="9" max="9" width="27.7109375" style="16" customWidth="1"/>
    <col min="10" max="16384" width="9.140625" style="16"/>
  </cols>
  <sheetData>
    <row r="1" spans="2:10" ht="15.75" thickBot="1"/>
    <row r="2" spans="2:10">
      <c r="B2" s="17"/>
      <c r="C2" s="18"/>
      <c r="D2" s="18"/>
      <c r="E2" s="18"/>
      <c r="F2" s="18"/>
      <c r="G2" s="18"/>
      <c r="H2" s="18"/>
      <c r="I2" s="18"/>
      <c r="J2" s="19"/>
    </row>
    <row r="3" spans="2:10" ht="15.75" thickBot="1">
      <c r="B3" s="20"/>
      <c r="C3" s="21"/>
      <c r="D3" s="21"/>
      <c r="E3" s="21"/>
      <c r="F3" s="21"/>
      <c r="G3" s="21"/>
      <c r="H3" s="21"/>
      <c r="I3" s="21"/>
      <c r="J3" s="22"/>
    </row>
    <row r="4" spans="2:10">
      <c r="B4" s="20"/>
      <c r="C4" s="133" t="s">
        <v>2</v>
      </c>
      <c r="D4" s="134"/>
      <c r="E4" s="134"/>
      <c r="F4" s="134"/>
      <c r="G4" s="134"/>
      <c r="H4" s="134"/>
      <c r="I4" s="135"/>
      <c r="J4" s="22"/>
    </row>
    <row r="5" spans="2:10" ht="15.75" thickBot="1">
      <c r="B5" s="20"/>
      <c r="C5" s="136"/>
      <c r="D5" s="137"/>
      <c r="E5" s="137"/>
      <c r="F5" s="137"/>
      <c r="G5" s="137"/>
      <c r="H5" s="137"/>
      <c r="I5" s="138"/>
      <c r="J5" s="22"/>
    </row>
    <row r="6" spans="2:10">
      <c r="B6" s="20"/>
      <c r="C6" s="21"/>
      <c r="D6" s="21"/>
      <c r="E6" s="21"/>
      <c r="F6" s="21"/>
      <c r="G6" s="21"/>
      <c r="H6" s="21"/>
      <c r="I6" s="21"/>
      <c r="J6" s="22"/>
    </row>
    <row r="7" spans="2:10" ht="15.75" thickBot="1">
      <c r="B7" s="20"/>
      <c r="C7" s="21"/>
      <c r="D7" s="21"/>
      <c r="E7" s="21"/>
      <c r="F7" s="21"/>
      <c r="G7" s="21"/>
      <c r="H7" s="21"/>
      <c r="I7" s="21"/>
      <c r="J7" s="22"/>
    </row>
    <row r="8" spans="2:10">
      <c r="B8" s="20"/>
      <c r="C8" s="139" t="s">
        <v>3</v>
      </c>
      <c r="D8" s="141" t="s">
        <v>4</v>
      </c>
      <c r="E8" s="142"/>
      <c r="F8" s="142"/>
      <c r="G8" s="142"/>
      <c r="H8" s="142"/>
      <c r="I8" s="143"/>
      <c r="J8" s="22"/>
    </row>
    <row r="9" spans="2:10" ht="15.75" thickBot="1">
      <c r="B9" s="20"/>
      <c r="C9" s="140"/>
      <c r="D9" s="144"/>
      <c r="E9" s="145"/>
      <c r="F9" s="145"/>
      <c r="G9" s="145"/>
      <c r="H9" s="145"/>
      <c r="I9" s="146"/>
      <c r="J9" s="22"/>
    </row>
    <row r="10" spans="2:10" ht="15" customHeight="1">
      <c r="B10" s="20"/>
      <c r="C10" s="120">
        <v>1</v>
      </c>
      <c r="D10" s="122" t="s">
        <v>5</v>
      </c>
      <c r="E10" s="123"/>
      <c r="F10" s="123"/>
      <c r="G10" s="123"/>
      <c r="H10" s="124"/>
      <c r="I10" s="118" t="s">
        <v>6</v>
      </c>
      <c r="J10" s="22"/>
    </row>
    <row r="11" spans="2:10" ht="15.75" thickBot="1">
      <c r="B11" s="20"/>
      <c r="C11" s="121"/>
      <c r="D11" s="125"/>
      <c r="E11" s="126"/>
      <c r="F11" s="126"/>
      <c r="G11" s="126"/>
      <c r="H11" s="127"/>
      <c r="I11" s="147"/>
      <c r="J11" s="22"/>
    </row>
    <row r="12" spans="2:10" ht="15" customHeight="1">
      <c r="B12" s="20"/>
      <c r="C12" s="120">
        <f>C10+1</f>
        <v>2</v>
      </c>
      <c r="D12" s="122" t="s">
        <v>7</v>
      </c>
      <c r="E12" s="123"/>
      <c r="F12" s="123"/>
      <c r="G12" s="123"/>
      <c r="H12" s="124"/>
      <c r="I12" s="116" t="s">
        <v>8</v>
      </c>
      <c r="J12" s="22"/>
    </row>
    <row r="13" spans="2:10" ht="15.75" thickBot="1">
      <c r="B13" s="20"/>
      <c r="C13" s="121"/>
      <c r="D13" s="125"/>
      <c r="E13" s="126"/>
      <c r="F13" s="126"/>
      <c r="G13" s="126"/>
      <c r="H13" s="127"/>
      <c r="I13" s="117"/>
      <c r="J13" s="22"/>
    </row>
    <row r="14" spans="2:10" ht="15" customHeight="1">
      <c r="B14" s="20"/>
      <c r="C14" s="120">
        <f t="shared" ref="C14" si="0">C12+1</f>
        <v>3</v>
      </c>
      <c r="D14" s="122" t="s">
        <v>9</v>
      </c>
      <c r="E14" s="128"/>
      <c r="F14" s="128"/>
      <c r="G14" s="128"/>
      <c r="H14" s="129"/>
      <c r="I14" s="118" t="s">
        <v>9</v>
      </c>
      <c r="J14" s="22"/>
    </row>
    <row r="15" spans="2:10" ht="15.75" thickBot="1">
      <c r="B15" s="20"/>
      <c r="C15" s="121"/>
      <c r="D15" s="130"/>
      <c r="E15" s="131"/>
      <c r="F15" s="131"/>
      <c r="G15" s="131"/>
      <c r="H15" s="132"/>
      <c r="I15" s="119"/>
      <c r="J15" s="22"/>
    </row>
    <row r="16" spans="2:10" ht="15" customHeight="1">
      <c r="B16" s="20"/>
      <c r="C16" s="120">
        <f t="shared" ref="C16" si="1">C14+1</f>
        <v>4</v>
      </c>
      <c r="D16" s="122" t="s">
        <v>10</v>
      </c>
      <c r="E16" s="123"/>
      <c r="F16" s="123"/>
      <c r="G16" s="123"/>
      <c r="H16" s="124"/>
      <c r="I16" s="114" t="s">
        <v>11</v>
      </c>
      <c r="J16" s="22"/>
    </row>
    <row r="17" spans="2:10" ht="15.75" thickBot="1">
      <c r="B17" s="20"/>
      <c r="C17" s="121"/>
      <c r="D17" s="125"/>
      <c r="E17" s="126"/>
      <c r="F17" s="126"/>
      <c r="G17" s="126"/>
      <c r="H17" s="127"/>
      <c r="I17" s="115"/>
      <c r="J17" s="22"/>
    </row>
    <row r="18" spans="2:10" ht="15" customHeight="1">
      <c r="B18" s="20"/>
      <c r="C18" s="23"/>
      <c r="D18" s="23"/>
      <c r="E18" s="23"/>
      <c r="F18" s="23"/>
      <c r="G18" s="23"/>
      <c r="H18" s="23"/>
      <c r="I18" s="23"/>
      <c r="J18" s="22"/>
    </row>
    <row r="19" spans="2:10" ht="15.75" thickBot="1">
      <c r="B19" s="24"/>
      <c r="C19" s="25"/>
      <c r="D19" s="25"/>
      <c r="E19" s="25"/>
      <c r="F19" s="25"/>
      <c r="G19" s="25"/>
      <c r="H19" s="25"/>
      <c r="I19" s="25"/>
      <c r="J19" s="26"/>
    </row>
  </sheetData>
  <mergeCells count="15">
    <mergeCell ref="C4:I5"/>
    <mergeCell ref="C8:C9"/>
    <mergeCell ref="D8:I9"/>
    <mergeCell ref="C10:C11"/>
    <mergeCell ref="D10:H11"/>
    <mergeCell ref="I10:I11"/>
    <mergeCell ref="I16:I17"/>
    <mergeCell ref="I12:I13"/>
    <mergeCell ref="I14:I15"/>
    <mergeCell ref="C12:C13"/>
    <mergeCell ref="D12:H13"/>
    <mergeCell ref="C14:C15"/>
    <mergeCell ref="D14:H15"/>
    <mergeCell ref="C16:C17"/>
    <mergeCell ref="D16:H17"/>
  </mergeCells>
  <hyperlinks>
    <hyperlink ref="I12:I13" location="RACM!A1" display="RACM'!A1" xr:uid="{00000000-0004-0000-0100-000000000000}"/>
    <hyperlink ref="I14:I15" location="'Internal Control Improvements'!A1" display="RACM'!A1" xr:uid="{00000000-0004-0000-0100-000001000000}"/>
    <hyperlink ref="I16:I17" location="Disclaimer!A1" display="Disclaimer'!A1" xr:uid="{00000000-0004-0000-0100-000002000000}"/>
    <hyperlink ref="I10:I11" location="Coverage_Map!A1" display="Coverage Map '!A1" xr:uid="{00000000-0004-0000-0100-000003000000}"/>
  </hyperlinks>
  <pageMargins left="0.7" right="0.7"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9"/>
  <sheetViews>
    <sheetView workbookViewId="0">
      <selection activeCell="E13" sqref="E13"/>
    </sheetView>
  </sheetViews>
  <sheetFormatPr defaultRowHeight="15"/>
  <cols>
    <col min="1" max="1" width="18.7109375" bestFit="1" customWidth="1"/>
    <col min="2" max="2" width="18.7109375" customWidth="1"/>
    <col min="3" max="3" width="12.28515625" bestFit="1" customWidth="1"/>
    <col min="4" max="4" width="39.85546875" bestFit="1" customWidth="1"/>
    <col min="5" max="5" width="19.85546875" bestFit="1" customWidth="1"/>
    <col min="6" max="6" width="19.85546875" customWidth="1"/>
    <col min="7" max="12" width="18" customWidth="1"/>
    <col min="13" max="13" width="0" hidden="1" customWidth="1"/>
    <col min="14" max="17" width="14.140625" customWidth="1"/>
  </cols>
  <sheetData>
    <row r="1" spans="1:17" ht="27.75" thickBot="1">
      <c r="A1" s="27"/>
      <c r="B1" s="28" t="s">
        <v>12</v>
      </c>
      <c r="C1" s="29" t="s">
        <v>13</v>
      </c>
      <c r="D1" s="30" t="s">
        <v>14</v>
      </c>
      <c r="E1" s="31" t="s">
        <v>15</v>
      </c>
      <c r="F1" s="32" t="s">
        <v>16</v>
      </c>
      <c r="G1" s="33" t="s">
        <v>17</v>
      </c>
      <c r="H1" s="34" t="s">
        <v>18</v>
      </c>
      <c r="I1" s="35"/>
      <c r="J1" s="35"/>
      <c r="K1" s="36"/>
      <c r="L1" s="37"/>
      <c r="M1" s="27"/>
      <c r="N1" s="27"/>
      <c r="O1" s="27"/>
      <c r="P1" s="27"/>
    </row>
    <row r="2" spans="1:17">
      <c r="A2" s="38"/>
      <c r="B2" s="39" t="s">
        <v>19</v>
      </c>
      <c r="C2" s="40">
        <v>438799340</v>
      </c>
      <c r="D2" s="41">
        <v>0.01</v>
      </c>
      <c r="E2" s="42">
        <f>C2*D2</f>
        <v>4387993.4000000004</v>
      </c>
      <c r="F2" s="148">
        <v>4387993.4000000004</v>
      </c>
      <c r="G2" s="43"/>
      <c r="H2" s="43"/>
      <c r="I2" s="38"/>
      <c r="J2" s="44"/>
      <c r="K2" s="45"/>
      <c r="L2" s="46"/>
      <c r="M2" s="38"/>
      <c r="N2" s="38"/>
      <c r="O2" s="38"/>
      <c r="P2" s="38"/>
    </row>
    <row r="3" spans="1:17">
      <c r="A3" s="38"/>
      <c r="B3" s="39" t="s">
        <v>20</v>
      </c>
      <c r="C3" s="40">
        <v>17475748</v>
      </c>
      <c r="D3" s="41">
        <v>0.05</v>
      </c>
      <c r="E3" s="42">
        <f>C3*D3</f>
        <v>873787.4</v>
      </c>
      <c r="F3" s="149"/>
      <c r="G3" s="43"/>
      <c r="H3" s="43"/>
      <c r="I3" s="38"/>
      <c r="J3" s="45"/>
      <c r="K3" s="45"/>
      <c r="L3" s="46"/>
      <c r="M3" s="38"/>
      <c r="N3" s="38"/>
      <c r="O3" s="38"/>
      <c r="P3" s="38"/>
    </row>
    <row r="4" spans="1:17">
      <c r="A4" s="38"/>
      <c r="B4" s="38"/>
      <c r="C4" s="38"/>
      <c r="D4" s="38"/>
      <c r="E4" s="38"/>
      <c r="F4" s="38"/>
      <c r="G4" s="38"/>
      <c r="H4" s="38"/>
      <c r="I4" s="38"/>
      <c r="J4" s="38"/>
      <c r="K4" s="38"/>
      <c r="L4" s="38"/>
      <c r="M4" s="46"/>
      <c r="N4" s="38"/>
      <c r="O4" s="44"/>
      <c r="P4" s="44"/>
      <c r="Q4" s="45"/>
    </row>
    <row r="5" spans="1:17" ht="54">
      <c r="A5" s="47" t="s">
        <v>21</v>
      </c>
      <c r="B5" s="47" t="s">
        <v>22</v>
      </c>
      <c r="C5" s="47" t="s">
        <v>23</v>
      </c>
      <c r="D5" s="47" t="s">
        <v>24</v>
      </c>
      <c r="E5" s="48" t="s">
        <v>25</v>
      </c>
      <c r="F5" s="48" t="s">
        <v>26</v>
      </c>
      <c r="G5" s="48" t="s">
        <v>27</v>
      </c>
      <c r="H5" s="49" t="s">
        <v>28</v>
      </c>
      <c r="I5" s="49" t="s">
        <v>29</v>
      </c>
      <c r="J5" s="49" t="s">
        <v>30</v>
      </c>
      <c r="K5" s="49" t="s">
        <v>31</v>
      </c>
      <c r="L5" s="50" t="s">
        <v>32</v>
      </c>
      <c r="M5" s="51"/>
      <c r="N5" s="52"/>
      <c r="O5" s="52"/>
      <c r="P5" s="52"/>
      <c r="Q5" s="52"/>
    </row>
    <row r="6" spans="1:17">
      <c r="A6" s="53" t="s">
        <v>33</v>
      </c>
      <c r="B6" s="53" t="s">
        <v>33</v>
      </c>
      <c r="C6" s="94">
        <v>2504602</v>
      </c>
      <c r="D6" s="95" t="s">
        <v>34</v>
      </c>
      <c r="E6" s="96">
        <v>503005022.26999998</v>
      </c>
      <c r="F6" s="96">
        <v>50.300502226999996</v>
      </c>
      <c r="G6" s="54" t="s">
        <v>35</v>
      </c>
      <c r="H6" s="54" t="s">
        <v>36</v>
      </c>
      <c r="I6" s="54" t="s">
        <v>36</v>
      </c>
      <c r="J6" s="54" t="s">
        <v>36</v>
      </c>
      <c r="K6" s="54" t="s">
        <v>36</v>
      </c>
      <c r="L6" s="55" t="s">
        <v>37</v>
      </c>
      <c r="M6" s="56" t="str">
        <f>IF(D6&lt;0,D6*-1,D6)</f>
        <v>Royalty Paid</v>
      </c>
      <c r="N6" s="57"/>
      <c r="O6" s="57"/>
      <c r="P6" s="57"/>
      <c r="Q6" s="36"/>
    </row>
    <row r="7" spans="1:17">
      <c r="A7" s="53" t="s">
        <v>33</v>
      </c>
      <c r="B7" s="53" t="s">
        <v>33</v>
      </c>
      <c r="C7" s="97">
        <v>2201014</v>
      </c>
      <c r="D7" s="95" t="s">
        <v>38</v>
      </c>
      <c r="E7" s="96">
        <v>8142302467.1000004</v>
      </c>
      <c r="F7" s="96">
        <v>814.23024671000007</v>
      </c>
      <c r="G7" s="54" t="s">
        <v>35</v>
      </c>
      <c r="H7" s="54" t="s">
        <v>36</v>
      </c>
      <c r="I7" s="54" t="s">
        <v>36</v>
      </c>
      <c r="J7" s="54" t="s">
        <v>36</v>
      </c>
      <c r="K7" s="54" t="s">
        <v>36</v>
      </c>
      <c r="L7" s="55" t="s">
        <v>37</v>
      </c>
      <c r="M7" s="56"/>
      <c r="N7" s="57"/>
      <c r="O7" s="57"/>
      <c r="P7" s="57"/>
      <c r="Q7" s="36"/>
    </row>
    <row r="8" spans="1:17">
      <c r="A8" s="53" t="s">
        <v>33</v>
      </c>
      <c r="B8" s="53" t="s">
        <v>33</v>
      </c>
      <c r="C8" s="94">
        <v>2301001</v>
      </c>
      <c r="D8" s="98" t="s">
        <v>39</v>
      </c>
      <c r="E8" s="96">
        <v>490805660.45999998</v>
      </c>
      <c r="F8" s="96">
        <v>49.080566046000001</v>
      </c>
      <c r="G8" s="54" t="s">
        <v>35</v>
      </c>
      <c r="H8" s="54" t="s">
        <v>36</v>
      </c>
      <c r="I8" s="54" t="s">
        <v>36</v>
      </c>
      <c r="J8" s="54" t="s">
        <v>36</v>
      </c>
      <c r="K8" s="54" t="s">
        <v>36</v>
      </c>
      <c r="L8" s="55" t="s">
        <v>37</v>
      </c>
    </row>
    <row r="9" spans="1:17">
      <c r="A9" s="53" t="s">
        <v>33</v>
      </c>
      <c r="B9" s="53" t="s">
        <v>33</v>
      </c>
      <c r="C9" s="94">
        <v>2302003</v>
      </c>
      <c r="D9" s="95" t="s">
        <v>40</v>
      </c>
      <c r="E9" s="96">
        <v>176751834.97</v>
      </c>
      <c r="F9" s="96">
        <v>17.675183496999999</v>
      </c>
      <c r="G9" s="54" t="s">
        <v>35</v>
      </c>
      <c r="H9" s="54" t="s">
        <v>36</v>
      </c>
      <c r="I9" s="54" t="s">
        <v>36</v>
      </c>
      <c r="J9" s="54" t="s">
        <v>36</v>
      </c>
      <c r="K9" s="54" t="s">
        <v>36</v>
      </c>
      <c r="L9" s="55" t="s">
        <v>37</v>
      </c>
    </row>
    <row r="10" spans="1:17">
      <c r="A10" s="53" t="s">
        <v>33</v>
      </c>
      <c r="B10" s="53" t="s">
        <v>33</v>
      </c>
      <c r="C10" s="94">
        <v>2304008</v>
      </c>
      <c r="D10" s="95" t="s">
        <v>41</v>
      </c>
      <c r="E10" s="96">
        <v>248482695.31999999</v>
      </c>
      <c r="F10" s="96">
        <v>24.848269532</v>
      </c>
      <c r="G10" s="54" t="s">
        <v>35</v>
      </c>
      <c r="H10" s="54" t="s">
        <v>36</v>
      </c>
      <c r="I10" s="54" t="s">
        <v>36</v>
      </c>
      <c r="J10" s="54" t="s">
        <v>36</v>
      </c>
      <c r="K10" s="54" t="s">
        <v>36</v>
      </c>
      <c r="L10" s="55" t="s">
        <v>37</v>
      </c>
    </row>
    <row r="11" spans="1:17">
      <c r="A11" s="53" t="s">
        <v>33</v>
      </c>
      <c r="B11" s="53" t="s">
        <v>33</v>
      </c>
      <c r="C11" s="97">
        <v>2308006</v>
      </c>
      <c r="D11" s="95" t="s">
        <v>42</v>
      </c>
      <c r="E11" s="96">
        <v>1923010393.01</v>
      </c>
      <c r="F11" s="96">
        <v>192.301039301</v>
      </c>
      <c r="G11" s="54" t="s">
        <v>35</v>
      </c>
      <c r="H11" s="54" t="s">
        <v>36</v>
      </c>
      <c r="I11" s="54" t="s">
        <v>36</v>
      </c>
      <c r="J11" s="54" t="s">
        <v>36</v>
      </c>
      <c r="K11" s="54" t="s">
        <v>36</v>
      </c>
      <c r="L11" s="55" t="s">
        <v>37</v>
      </c>
    </row>
    <row r="12" spans="1:17">
      <c r="A12" s="53" t="s">
        <v>33</v>
      </c>
      <c r="B12" s="53" t="s">
        <v>33</v>
      </c>
      <c r="C12" s="94">
        <v>2501011</v>
      </c>
      <c r="D12" s="99" t="s">
        <v>43</v>
      </c>
      <c r="E12" s="96">
        <v>30000000</v>
      </c>
      <c r="F12" s="96">
        <v>3</v>
      </c>
      <c r="G12" s="54" t="s">
        <v>36</v>
      </c>
      <c r="H12" s="54" t="s">
        <v>36</v>
      </c>
      <c r="I12" s="54" t="s">
        <v>35</v>
      </c>
      <c r="J12" s="54" t="s">
        <v>36</v>
      </c>
      <c r="K12" s="54" t="s">
        <v>36</v>
      </c>
      <c r="L12" s="55" t="s">
        <v>37</v>
      </c>
    </row>
    <row r="13" spans="1:17">
      <c r="A13" s="53" t="s">
        <v>33</v>
      </c>
      <c r="B13" s="53" t="s">
        <v>33</v>
      </c>
      <c r="C13" s="94">
        <v>5703029</v>
      </c>
      <c r="D13" s="98" t="s">
        <v>44</v>
      </c>
      <c r="E13" s="96">
        <v>15399973.27</v>
      </c>
      <c r="F13" s="96">
        <v>1.539997327</v>
      </c>
      <c r="G13" s="54" t="s">
        <v>36</v>
      </c>
      <c r="H13" s="54" t="s">
        <v>35</v>
      </c>
      <c r="I13" s="54" t="s">
        <v>36</v>
      </c>
      <c r="J13" s="54" t="s">
        <v>36</v>
      </c>
      <c r="K13" s="54" t="s">
        <v>36</v>
      </c>
      <c r="L13" s="55" t="s">
        <v>37</v>
      </c>
    </row>
    <row r="14" spans="1:17">
      <c r="A14" s="53" t="s">
        <v>33</v>
      </c>
      <c r="B14" s="53" t="s">
        <v>33</v>
      </c>
      <c r="C14" s="97">
        <v>2201032</v>
      </c>
      <c r="D14" s="95" t="s">
        <v>45</v>
      </c>
      <c r="E14" s="96">
        <v>7862292.5599999996</v>
      </c>
      <c r="F14" s="96">
        <v>0.78622925599999993</v>
      </c>
      <c r="G14" s="54" t="s">
        <v>36</v>
      </c>
      <c r="H14" s="54" t="s">
        <v>46</v>
      </c>
      <c r="I14" s="54" t="s">
        <v>46</v>
      </c>
      <c r="J14" s="54" t="s">
        <v>36</v>
      </c>
      <c r="K14" s="54" t="s">
        <v>36</v>
      </c>
      <c r="L14" s="55" t="s">
        <v>37</v>
      </c>
    </row>
    <row r="15" spans="1:17">
      <c r="A15" s="53" t="s">
        <v>33</v>
      </c>
      <c r="B15" s="53" t="s">
        <v>33</v>
      </c>
      <c r="C15" s="94">
        <v>4607031</v>
      </c>
      <c r="D15" s="98" t="s">
        <v>47</v>
      </c>
      <c r="E15" s="96">
        <v>17430744468.84</v>
      </c>
      <c r="F15" s="96">
        <v>1743.0744468840001</v>
      </c>
      <c r="G15" s="54" t="s">
        <v>35</v>
      </c>
      <c r="H15" s="54" t="s">
        <v>36</v>
      </c>
      <c r="I15" s="54" t="s">
        <v>36</v>
      </c>
      <c r="J15" s="54" t="s">
        <v>36</v>
      </c>
      <c r="K15" s="54" t="s">
        <v>36</v>
      </c>
      <c r="L15" s="55" t="s">
        <v>37</v>
      </c>
    </row>
    <row r="16" spans="1:17">
      <c r="A16" s="53" t="s">
        <v>33</v>
      </c>
      <c r="B16" s="53" t="s">
        <v>33</v>
      </c>
      <c r="C16" s="94">
        <v>4607051</v>
      </c>
      <c r="D16" s="98" t="s">
        <v>48</v>
      </c>
      <c r="E16" s="96">
        <v>13694589486.950001</v>
      </c>
      <c r="F16" s="96">
        <v>1369.4589486950001</v>
      </c>
      <c r="G16" s="54" t="s">
        <v>35</v>
      </c>
      <c r="H16" s="54" t="s">
        <v>36</v>
      </c>
      <c r="I16" s="54" t="s">
        <v>36</v>
      </c>
      <c r="J16" s="54" t="s">
        <v>36</v>
      </c>
      <c r="K16" s="54" t="s">
        <v>36</v>
      </c>
      <c r="L16" s="55" t="s">
        <v>37</v>
      </c>
    </row>
    <row r="17" spans="1:12">
      <c r="A17" s="53" t="s">
        <v>33</v>
      </c>
      <c r="B17" s="53" t="s">
        <v>33</v>
      </c>
      <c r="C17" s="94">
        <v>4607061</v>
      </c>
      <c r="D17" s="98" t="s">
        <v>49</v>
      </c>
      <c r="E17" s="96">
        <v>31125333955.790001</v>
      </c>
      <c r="F17" s="96">
        <v>3112.5333955790002</v>
      </c>
      <c r="G17" s="54" t="s">
        <v>35</v>
      </c>
      <c r="H17" s="54" t="s">
        <v>36</v>
      </c>
      <c r="I17" s="54" t="s">
        <v>36</v>
      </c>
      <c r="J17" s="54" t="s">
        <v>36</v>
      </c>
      <c r="K17" s="54" t="s">
        <v>36</v>
      </c>
      <c r="L17" s="55" t="s">
        <v>37</v>
      </c>
    </row>
    <row r="18" spans="1:12">
      <c r="A18" s="53" t="s">
        <v>33</v>
      </c>
      <c r="B18" s="53" t="s">
        <v>33</v>
      </c>
      <c r="C18" s="94">
        <v>2304021</v>
      </c>
      <c r="D18" s="95" t="s">
        <v>50</v>
      </c>
      <c r="E18" s="96">
        <v>62705211</v>
      </c>
      <c r="F18" s="96">
        <v>6.2705210999999998</v>
      </c>
      <c r="G18" s="54" t="s">
        <v>36</v>
      </c>
      <c r="H18" s="54" t="s">
        <v>46</v>
      </c>
      <c r="I18" s="54" t="s">
        <v>36</v>
      </c>
      <c r="J18" s="54" t="s">
        <v>36</v>
      </c>
      <c r="K18" s="54" t="s">
        <v>36</v>
      </c>
      <c r="L18" s="55" t="s">
        <v>37</v>
      </c>
    </row>
    <row r="19" spans="1:12">
      <c r="A19" s="53" t="s">
        <v>33</v>
      </c>
      <c r="B19" s="53" t="s">
        <v>33</v>
      </c>
      <c r="C19" s="97">
        <v>2201022</v>
      </c>
      <c r="D19" s="95" t="s">
        <v>51</v>
      </c>
      <c r="E19" s="96">
        <v>119155334.05</v>
      </c>
      <c r="F19" s="96">
        <v>11.915533405</v>
      </c>
      <c r="G19" s="54" t="s">
        <v>36</v>
      </c>
      <c r="H19" s="54" t="s">
        <v>46</v>
      </c>
      <c r="I19" s="54" t="s">
        <v>36</v>
      </c>
      <c r="J19" s="54" t="s">
        <v>36</v>
      </c>
      <c r="K19" s="54" t="s">
        <v>36</v>
      </c>
      <c r="L19" s="55" t="s">
        <v>37</v>
      </c>
    </row>
  </sheetData>
  <autoFilter ref="A5:M19" xr:uid="{00000000-0001-0000-0200-000000000000}"/>
  <mergeCells count="1">
    <mergeCell ref="F2:F3"/>
  </mergeCells>
  <conditionalFormatting sqref="G6:K19">
    <cfRule type="cellIs" dxfId="21" priority="8" operator="equal">
      <formula>"Y"</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9"/>
  <sheetViews>
    <sheetView tabSelected="1" zoomScaleNormal="100" workbookViewId="0">
      <pane ySplit="6" topLeftCell="B7" activePane="bottomLeft" state="frozen"/>
      <selection pane="bottomLeft" activeCell="G16" sqref="G16"/>
    </sheetView>
  </sheetViews>
  <sheetFormatPr defaultRowHeight="12"/>
  <cols>
    <col min="1" max="2" width="15.140625" style="66" customWidth="1"/>
    <col min="3" max="3" width="15.140625" style="58" customWidth="1"/>
    <col min="4" max="4" width="9.140625" style="66" customWidth="1"/>
    <col min="5" max="5" width="28" style="66" customWidth="1"/>
    <col min="6" max="6" width="9.140625" style="66" customWidth="1"/>
    <col min="7" max="7" width="68.7109375" style="66" customWidth="1"/>
    <col min="8" max="8" width="11.42578125" style="92" customWidth="1"/>
    <col min="9" max="10" width="14.140625" style="66" customWidth="1"/>
    <col min="11" max="15" width="5.140625" style="66" customWidth="1"/>
    <col min="16" max="16" width="29.5703125" style="66" customWidth="1"/>
    <col min="17" max="17" width="16.7109375" style="58" customWidth="1"/>
    <col min="18" max="18" width="13.140625" style="58" customWidth="1"/>
    <col min="19" max="19" width="12.85546875" style="58" customWidth="1"/>
    <col min="20" max="20" width="14.5703125" style="58" customWidth="1"/>
    <col min="21" max="21" width="11.7109375" style="58" customWidth="1"/>
    <col min="22" max="22" width="7.85546875" style="58" customWidth="1"/>
    <col min="23" max="23" width="36.7109375" style="66" customWidth="1"/>
    <col min="24" max="24" width="19.42578125" style="59" customWidth="1"/>
    <col min="25" max="25" width="13.42578125" style="59" customWidth="1"/>
    <col min="26" max="16384" width="9.140625" style="66"/>
  </cols>
  <sheetData>
    <row r="1" spans="1:27" ht="15" customHeight="1">
      <c r="A1" s="151" t="s">
        <v>52</v>
      </c>
      <c r="B1" s="151"/>
      <c r="C1" s="151"/>
      <c r="D1" s="151"/>
      <c r="E1" s="151"/>
      <c r="H1" s="58"/>
    </row>
    <row r="2" spans="1:27" ht="15" customHeight="1">
      <c r="A2" s="60" t="s">
        <v>53</v>
      </c>
      <c r="B2" s="61" t="s">
        <v>54</v>
      </c>
      <c r="C2" s="62"/>
      <c r="D2" s="62"/>
      <c r="E2" s="62"/>
      <c r="F2" s="63"/>
      <c r="H2" s="58"/>
    </row>
    <row r="3" spans="1:27" ht="15" customHeight="1">
      <c r="A3" s="60" t="s">
        <v>55</v>
      </c>
      <c r="B3" s="61" t="s">
        <v>56</v>
      </c>
      <c r="C3" s="62"/>
      <c r="D3" s="62"/>
      <c r="E3" s="62"/>
      <c r="F3" s="63"/>
      <c r="H3" s="58"/>
    </row>
    <row r="4" spans="1:27">
      <c r="A4" s="64" t="s">
        <v>57</v>
      </c>
      <c r="B4" s="65" t="s">
        <v>58</v>
      </c>
      <c r="C4" s="62"/>
      <c r="D4" s="62"/>
      <c r="E4" s="62"/>
      <c r="H4" s="58"/>
      <c r="M4" s="67"/>
      <c r="N4" s="67"/>
      <c r="O4" s="67"/>
      <c r="P4" s="67"/>
      <c r="Q4" s="68"/>
    </row>
    <row r="5" spans="1:27" ht="24" customHeight="1">
      <c r="A5" s="70"/>
      <c r="B5" s="70"/>
      <c r="C5" s="70"/>
      <c r="D5" s="70"/>
      <c r="E5" s="70"/>
      <c r="F5" s="102"/>
      <c r="G5" s="103"/>
      <c r="H5" s="70"/>
      <c r="I5" s="70"/>
      <c r="J5" s="70"/>
      <c r="K5" s="150" t="s">
        <v>59</v>
      </c>
      <c r="L5" s="150"/>
      <c r="M5" s="150"/>
      <c r="N5" s="150"/>
      <c r="O5" s="150"/>
      <c r="P5" s="70"/>
      <c r="Q5" s="150" t="s">
        <v>60</v>
      </c>
      <c r="R5" s="150"/>
      <c r="S5" s="150"/>
      <c r="T5" s="150"/>
      <c r="U5" s="150"/>
      <c r="V5" s="150"/>
      <c r="W5" s="150" t="s">
        <v>61</v>
      </c>
      <c r="X5" s="150"/>
      <c r="Y5" s="69" t="s">
        <v>62</v>
      </c>
    </row>
    <row r="6" spans="1:27" ht="45.75" customHeight="1">
      <c r="A6" s="70" t="s">
        <v>63</v>
      </c>
      <c r="B6" s="70" t="s">
        <v>64</v>
      </c>
      <c r="C6" s="70" t="s">
        <v>65</v>
      </c>
      <c r="D6" s="70" t="s">
        <v>66</v>
      </c>
      <c r="E6" s="70" t="s">
        <v>67</v>
      </c>
      <c r="F6" s="102" t="s">
        <v>68</v>
      </c>
      <c r="G6" s="103" t="s">
        <v>69</v>
      </c>
      <c r="H6" s="70" t="s">
        <v>70</v>
      </c>
      <c r="I6" s="70" t="s">
        <v>71</v>
      </c>
      <c r="J6" s="70" t="s">
        <v>72</v>
      </c>
      <c r="K6" s="71" t="s">
        <v>73</v>
      </c>
      <c r="L6" s="71" t="s">
        <v>74</v>
      </c>
      <c r="M6" s="71" t="s">
        <v>75</v>
      </c>
      <c r="N6" s="71" t="s">
        <v>76</v>
      </c>
      <c r="O6" s="71" t="s">
        <v>77</v>
      </c>
      <c r="P6" s="70" t="s">
        <v>78</v>
      </c>
      <c r="Q6" s="69" t="s">
        <v>79</v>
      </c>
      <c r="R6" s="69" t="s">
        <v>80</v>
      </c>
      <c r="S6" s="69" t="s">
        <v>81</v>
      </c>
      <c r="T6" s="69" t="s">
        <v>82</v>
      </c>
      <c r="U6" s="69" t="s">
        <v>83</v>
      </c>
      <c r="V6" s="69" t="s">
        <v>84</v>
      </c>
      <c r="W6" s="69" t="s">
        <v>85</v>
      </c>
      <c r="X6" s="69" t="s">
        <v>86</v>
      </c>
      <c r="Y6" s="70" t="s">
        <v>87</v>
      </c>
    </row>
    <row r="7" spans="1:27" ht="72">
      <c r="A7" s="72" t="s">
        <v>33</v>
      </c>
      <c r="B7" s="61" t="s">
        <v>88</v>
      </c>
      <c r="C7" s="100" t="s">
        <v>89</v>
      </c>
      <c r="D7" s="73" t="s">
        <v>90</v>
      </c>
      <c r="E7" s="61" t="s">
        <v>91</v>
      </c>
      <c r="F7" s="74" t="s">
        <v>92</v>
      </c>
      <c r="G7" s="75" t="s">
        <v>93</v>
      </c>
      <c r="H7" s="76" t="s">
        <v>94</v>
      </c>
      <c r="I7" s="76" t="s">
        <v>37</v>
      </c>
      <c r="J7" s="76" t="s">
        <v>95</v>
      </c>
      <c r="K7" s="76" t="s">
        <v>96</v>
      </c>
      <c r="L7" s="76" t="s">
        <v>96</v>
      </c>
      <c r="M7" s="76" t="s">
        <v>96</v>
      </c>
      <c r="N7" s="76"/>
      <c r="O7" s="76"/>
      <c r="P7" s="77" t="s">
        <v>97</v>
      </c>
      <c r="Q7" s="74" t="s">
        <v>98</v>
      </c>
      <c r="R7" s="76" t="s">
        <v>99</v>
      </c>
      <c r="S7" s="74" t="s">
        <v>100</v>
      </c>
      <c r="T7" s="74" t="s">
        <v>101</v>
      </c>
      <c r="U7" s="76" t="s">
        <v>102</v>
      </c>
      <c r="V7" s="76" t="s">
        <v>37</v>
      </c>
      <c r="W7" s="79"/>
      <c r="X7" s="79"/>
      <c r="Y7" s="76"/>
    </row>
    <row r="8" spans="1:27" ht="120">
      <c r="A8" s="72" t="s">
        <v>33</v>
      </c>
      <c r="B8" s="61" t="s">
        <v>88</v>
      </c>
      <c r="C8" s="100" t="s">
        <v>89</v>
      </c>
      <c r="D8" s="73" t="s">
        <v>103</v>
      </c>
      <c r="E8" s="61" t="s">
        <v>104</v>
      </c>
      <c r="F8" s="74" t="s">
        <v>105</v>
      </c>
      <c r="G8" s="75" t="s">
        <v>106</v>
      </c>
      <c r="H8" s="76" t="s">
        <v>94</v>
      </c>
      <c r="I8" s="76" t="s">
        <v>37</v>
      </c>
      <c r="J8" s="76" t="s">
        <v>37</v>
      </c>
      <c r="K8" s="76" t="s">
        <v>96</v>
      </c>
      <c r="L8" s="76" t="s">
        <v>96</v>
      </c>
      <c r="M8" s="76" t="s">
        <v>96</v>
      </c>
      <c r="N8" s="76"/>
      <c r="O8" s="76"/>
      <c r="P8" s="77" t="s">
        <v>107</v>
      </c>
      <c r="Q8" s="74" t="s">
        <v>108</v>
      </c>
      <c r="R8" s="76" t="s">
        <v>109</v>
      </c>
      <c r="S8" s="74" t="s">
        <v>100</v>
      </c>
      <c r="T8" s="74" t="s">
        <v>101</v>
      </c>
      <c r="U8" s="76" t="s">
        <v>110</v>
      </c>
      <c r="V8" s="76" t="s">
        <v>37</v>
      </c>
      <c r="W8" s="79"/>
      <c r="X8" s="79"/>
      <c r="Y8" s="76"/>
    </row>
    <row r="9" spans="1:27" ht="48">
      <c r="A9" s="72" t="s">
        <v>33</v>
      </c>
      <c r="B9" s="61" t="s">
        <v>88</v>
      </c>
      <c r="C9" s="100" t="s">
        <v>89</v>
      </c>
      <c r="D9" s="73" t="s">
        <v>90</v>
      </c>
      <c r="E9" s="61" t="s">
        <v>91</v>
      </c>
      <c r="F9" s="74" t="s">
        <v>111</v>
      </c>
      <c r="G9" s="75" t="s">
        <v>112</v>
      </c>
      <c r="H9" s="76" t="s">
        <v>94</v>
      </c>
      <c r="I9" s="76" t="s">
        <v>37</v>
      </c>
      <c r="J9" s="76" t="s">
        <v>37</v>
      </c>
      <c r="K9" s="76" t="s">
        <v>96</v>
      </c>
      <c r="L9" s="76" t="s">
        <v>96</v>
      </c>
      <c r="M9" s="76" t="s">
        <v>96</v>
      </c>
      <c r="N9" s="76"/>
      <c r="O9" s="76"/>
      <c r="P9" s="77" t="s">
        <v>113</v>
      </c>
      <c r="Q9" s="74" t="s">
        <v>98</v>
      </c>
      <c r="R9" s="78" t="s">
        <v>99</v>
      </c>
      <c r="S9" s="74" t="s">
        <v>100</v>
      </c>
      <c r="T9" s="74" t="s">
        <v>101</v>
      </c>
      <c r="U9" s="76" t="s">
        <v>102</v>
      </c>
      <c r="V9" s="76" t="s">
        <v>95</v>
      </c>
      <c r="W9" s="79"/>
      <c r="X9" s="79"/>
      <c r="Y9" s="76"/>
    </row>
    <row r="10" spans="1:27" ht="60">
      <c r="A10" s="72" t="s">
        <v>33</v>
      </c>
      <c r="B10" s="61" t="s">
        <v>114</v>
      </c>
      <c r="C10" s="100" t="s">
        <v>89</v>
      </c>
      <c r="D10" s="73" t="s">
        <v>115</v>
      </c>
      <c r="E10" s="61" t="s">
        <v>116</v>
      </c>
      <c r="F10" s="74" t="s">
        <v>117</v>
      </c>
      <c r="G10" s="75" t="s">
        <v>118</v>
      </c>
      <c r="H10" s="76" t="s">
        <v>94</v>
      </c>
      <c r="I10" s="76" t="s">
        <v>37</v>
      </c>
      <c r="J10" s="76" t="s">
        <v>37</v>
      </c>
      <c r="K10" s="76" t="s">
        <v>96</v>
      </c>
      <c r="L10" s="76" t="s">
        <v>96</v>
      </c>
      <c r="M10" s="76" t="s">
        <v>96</v>
      </c>
      <c r="N10" s="76"/>
      <c r="O10" s="76"/>
      <c r="P10" s="79" t="s">
        <v>119</v>
      </c>
      <c r="Q10" s="74" t="s">
        <v>98</v>
      </c>
      <c r="R10" s="76" t="s">
        <v>120</v>
      </c>
      <c r="S10" s="76" t="s">
        <v>100</v>
      </c>
      <c r="T10" s="74" t="s">
        <v>101</v>
      </c>
      <c r="U10" s="76" t="s">
        <v>102</v>
      </c>
      <c r="V10" s="76" t="s">
        <v>37</v>
      </c>
      <c r="W10" s="79"/>
      <c r="X10" s="79"/>
      <c r="Y10" s="76"/>
    </row>
    <row r="11" spans="1:27" ht="60">
      <c r="A11" s="72" t="s">
        <v>33</v>
      </c>
      <c r="B11" s="61" t="s">
        <v>121</v>
      </c>
      <c r="C11" s="100" t="s">
        <v>122</v>
      </c>
      <c r="D11" s="73" t="s">
        <v>123</v>
      </c>
      <c r="E11" s="61" t="s">
        <v>124</v>
      </c>
      <c r="F11" s="74" t="s">
        <v>125</v>
      </c>
      <c r="G11" s="75" t="s">
        <v>126</v>
      </c>
      <c r="H11" s="76" t="s">
        <v>94</v>
      </c>
      <c r="I11" s="76" t="s">
        <v>95</v>
      </c>
      <c r="J11" s="76" t="s">
        <v>95</v>
      </c>
      <c r="K11" s="76" t="s">
        <v>96</v>
      </c>
      <c r="L11" s="76"/>
      <c r="M11" s="76" t="s">
        <v>96</v>
      </c>
      <c r="N11" s="76"/>
      <c r="O11" s="76"/>
      <c r="P11" s="79" t="s">
        <v>127</v>
      </c>
      <c r="Q11" s="74" t="s">
        <v>108</v>
      </c>
      <c r="R11" s="78" t="s">
        <v>128</v>
      </c>
      <c r="S11" s="76" t="s">
        <v>100</v>
      </c>
      <c r="T11" s="74" t="s">
        <v>101</v>
      </c>
      <c r="U11" s="76" t="s">
        <v>110</v>
      </c>
      <c r="V11" s="76" t="s">
        <v>95</v>
      </c>
      <c r="W11" s="79"/>
      <c r="X11" s="79"/>
      <c r="Y11" s="76"/>
    </row>
    <row r="12" spans="1:27" ht="36">
      <c r="A12" s="72" t="s">
        <v>33</v>
      </c>
      <c r="B12" s="61" t="s">
        <v>121</v>
      </c>
      <c r="C12" s="100" t="s">
        <v>89</v>
      </c>
      <c r="D12" s="73" t="s">
        <v>129</v>
      </c>
      <c r="E12" s="61" t="s">
        <v>130</v>
      </c>
      <c r="F12" s="74" t="s">
        <v>131</v>
      </c>
      <c r="G12" s="75" t="s">
        <v>132</v>
      </c>
      <c r="H12" s="76" t="s">
        <v>94</v>
      </c>
      <c r="I12" s="76" t="s">
        <v>37</v>
      </c>
      <c r="J12" s="76" t="s">
        <v>95</v>
      </c>
      <c r="K12" s="76" t="s">
        <v>96</v>
      </c>
      <c r="L12" s="76"/>
      <c r="M12" s="76"/>
      <c r="N12" s="76" t="s">
        <v>96</v>
      </c>
      <c r="O12" s="76"/>
      <c r="P12" s="79" t="s">
        <v>133</v>
      </c>
      <c r="Q12" s="74" t="s">
        <v>108</v>
      </c>
      <c r="R12" s="78" t="s">
        <v>128</v>
      </c>
      <c r="S12" s="76" t="s">
        <v>100</v>
      </c>
      <c r="T12" s="76" t="s">
        <v>101</v>
      </c>
      <c r="U12" s="76" t="s">
        <v>110</v>
      </c>
      <c r="V12" s="76" t="s">
        <v>95</v>
      </c>
      <c r="W12" s="79"/>
      <c r="X12" s="79"/>
      <c r="Y12" s="76"/>
    </row>
    <row r="13" spans="1:27" ht="60">
      <c r="A13" s="72" t="s">
        <v>33</v>
      </c>
      <c r="B13" s="61" t="s">
        <v>121</v>
      </c>
      <c r="C13" s="100" t="s">
        <v>89</v>
      </c>
      <c r="D13" s="73" t="s">
        <v>129</v>
      </c>
      <c r="E13" s="61" t="s">
        <v>130</v>
      </c>
      <c r="F13" s="74" t="s">
        <v>134</v>
      </c>
      <c r="G13" s="75" t="s">
        <v>135</v>
      </c>
      <c r="H13" s="76" t="s">
        <v>94</v>
      </c>
      <c r="I13" s="76" t="s">
        <v>37</v>
      </c>
      <c r="J13" s="76" t="s">
        <v>95</v>
      </c>
      <c r="K13" s="76" t="s">
        <v>96</v>
      </c>
      <c r="L13" s="76"/>
      <c r="M13" s="76"/>
      <c r="N13" s="76" t="s">
        <v>96</v>
      </c>
      <c r="O13" s="76"/>
      <c r="P13" s="79" t="s">
        <v>136</v>
      </c>
      <c r="Q13" s="74" t="s">
        <v>137</v>
      </c>
      <c r="R13" s="78" t="s">
        <v>128</v>
      </c>
      <c r="S13" s="76" t="s">
        <v>100</v>
      </c>
      <c r="T13" s="76" t="s">
        <v>101</v>
      </c>
      <c r="U13" s="76" t="s">
        <v>110</v>
      </c>
      <c r="V13" s="76" t="s">
        <v>95</v>
      </c>
      <c r="W13" s="79"/>
      <c r="X13" s="79"/>
      <c r="Y13" s="76"/>
    </row>
    <row r="14" spans="1:27" ht="60">
      <c r="A14" s="72" t="s">
        <v>33</v>
      </c>
      <c r="B14" s="61" t="s">
        <v>121</v>
      </c>
      <c r="C14" s="100" t="s">
        <v>122</v>
      </c>
      <c r="D14" s="73" t="s">
        <v>138</v>
      </c>
      <c r="E14" s="61" t="s">
        <v>139</v>
      </c>
      <c r="F14" s="74" t="s">
        <v>140</v>
      </c>
      <c r="G14" s="79" t="s">
        <v>141</v>
      </c>
      <c r="H14" s="76" t="s">
        <v>94</v>
      </c>
      <c r="I14" s="76" t="s">
        <v>95</v>
      </c>
      <c r="J14" s="76" t="s">
        <v>95</v>
      </c>
      <c r="K14" s="76" t="s">
        <v>96</v>
      </c>
      <c r="L14" s="76"/>
      <c r="M14" s="76" t="s">
        <v>96</v>
      </c>
      <c r="N14" s="76"/>
      <c r="O14" s="76"/>
      <c r="P14" s="79" t="s">
        <v>142</v>
      </c>
      <c r="Q14" s="74" t="s">
        <v>143</v>
      </c>
      <c r="R14" s="78" t="s">
        <v>128</v>
      </c>
      <c r="S14" s="76" t="s">
        <v>100</v>
      </c>
      <c r="T14" s="74" t="s">
        <v>101</v>
      </c>
      <c r="U14" s="76" t="s">
        <v>110</v>
      </c>
      <c r="V14" s="76" t="s">
        <v>95</v>
      </c>
      <c r="W14" s="79"/>
      <c r="X14" s="72"/>
      <c r="Y14" s="79"/>
      <c r="AA14" s="76"/>
    </row>
    <row r="15" spans="1:27" ht="108">
      <c r="A15" s="72" t="s">
        <v>33</v>
      </c>
      <c r="B15" s="61" t="s">
        <v>121</v>
      </c>
      <c r="C15" s="100" t="s">
        <v>89</v>
      </c>
      <c r="D15" s="73" t="s">
        <v>138</v>
      </c>
      <c r="E15" s="61" t="s">
        <v>139</v>
      </c>
      <c r="F15" s="74" t="s">
        <v>144</v>
      </c>
      <c r="G15" s="79" t="s">
        <v>145</v>
      </c>
      <c r="H15" s="76" t="s">
        <v>94</v>
      </c>
      <c r="I15" s="76" t="s">
        <v>95</v>
      </c>
      <c r="J15" s="76" t="s">
        <v>37</v>
      </c>
      <c r="K15" s="76" t="s">
        <v>96</v>
      </c>
      <c r="L15" s="76"/>
      <c r="M15" s="76" t="s">
        <v>96</v>
      </c>
      <c r="N15" s="76"/>
      <c r="O15" s="76"/>
      <c r="P15" s="79" t="s">
        <v>142</v>
      </c>
      <c r="Q15" s="74" t="s">
        <v>143</v>
      </c>
      <c r="R15" s="78" t="s">
        <v>128</v>
      </c>
      <c r="S15" s="76" t="s">
        <v>100</v>
      </c>
      <c r="T15" s="74" t="s">
        <v>101</v>
      </c>
      <c r="U15" s="76" t="s">
        <v>110</v>
      </c>
      <c r="V15" s="76" t="s">
        <v>95</v>
      </c>
      <c r="W15" s="79"/>
      <c r="X15" s="72"/>
      <c r="Y15" s="79"/>
      <c r="AA15" s="93"/>
    </row>
    <row r="16" spans="1:27" ht="36">
      <c r="A16" s="72" t="s">
        <v>33</v>
      </c>
      <c r="B16" s="61" t="s">
        <v>146</v>
      </c>
      <c r="C16" s="100" t="s">
        <v>147</v>
      </c>
      <c r="D16" s="73" t="s">
        <v>148</v>
      </c>
      <c r="E16" s="61" t="s">
        <v>149</v>
      </c>
      <c r="F16" s="74" t="s">
        <v>150</v>
      </c>
      <c r="G16" s="75" t="s">
        <v>151</v>
      </c>
      <c r="H16" s="76" t="s">
        <v>94</v>
      </c>
      <c r="I16" s="76" t="s">
        <v>95</v>
      </c>
      <c r="J16" s="76" t="s">
        <v>37</v>
      </c>
      <c r="K16" s="76" t="s">
        <v>96</v>
      </c>
      <c r="L16" s="76"/>
      <c r="M16" s="76" t="s">
        <v>96</v>
      </c>
      <c r="N16" s="76" t="s">
        <v>96</v>
      </c>
      <c r="O16" s="76"/>
      <c r="P16" s="79" t="s">
        <v>152</v>
      </c>
      <c r="Q16" s="74" t="s">
        <v>98</v>
      </c>
      <c r="R16" s="78" t="s">
        <v>128</v>
      </c>
      <c r="S16" s="76" t="s">
        <v>100</v>
      </c>
      <c r="T16" s="74" t="s">
        <v>101</v>
      </c>
      <c r="U16" s="76" t="s">
        <v>102</v>
      </c>
      <c r="V16" s="76" t="s">
        <v>37</v>
      </c>
      <c r="W16" s="79"/>
      <c r="X16" s="79"/>
      <c r="Y16" s="76"/>
    </row>
    <row r="17" spans="1:25" ht="48">
      <c r="A17" s="72" t="s">
        <v>33</v>
      </c>
      <c r="B17" s="61" t="s">
        <v>146</v>
      </c>
      <c r="C17" s="100" t="s">
        <v>89</v>
      </c>
      <c r="D17" s="73" t="s">
        <v>153</v>
      </c>
      <c r="E17" s="61" t="s">
        <v>154</v>
      </c>
      <c r="F17" s="74" t="s">
        <v>155</v>
      </c>
      <c r="G17" s="75" t="s">
        <v>156</v>
      </c>
      <c r="H17" s="76" t="s">
        <v>94</v>
      </c>
      <c r="I17" s="76" t="s">
        <v>37</v>
      </c>
      <c r="J17" s="76" t="s">
        <v>95</v>
      </c>
      <c r="K17" s="76" t="s">
        <v>96</v>
      </c>
      <c r="L17" s="76" t="s">
        <v>96</v>
      </c>
      <c r="M17" s="76" t="s">
        <v>96</v>
      </c>
      <c r="N17" s="76" t="s">
        <v>96</v>
      </c>
      <c r="O17" s="76"/>
      <c r="P17" s="79" t="s">
        <v>157</v>
      </c>
      <c r="Q17" s="74" t="s">
        <v>137</v>
      </c>
      <c r="R17" s="78" t="s">
        <v>99</v>
      </c>
      <c r="S17" s="76" t="s">
        <v>100</v>
      </c>
      <c r="T17" s="76" t="s">
        <v>101</v>
      </c>
      <c r="U17" s="76" t="s">
        <v>110</v>
      </c>
      <c r="V17" s="76" t="s">
        <v>95</v>
      </c>
      <c r="W17" s="79"/>
      <c r="X17" s="79"/>
      <c r="Y17" s="76"/>
    </row>
    <row r="18" spans="1:25" ht="72">
      <c r="A18" s="72" t="s">
        <v>158</v>
      </c>
      <c r="B18" s="89" t="s">
        <v>159</v>
      </c>
      <c r="C18" s="100" t="s">
        <v>89</v>
      </c>
      <c r="D18" s="73" t="s">
        <v>160</v>
      </c>
      <c r="E18" s="90" t="s">
        <v>161</v>
      </c>
      <c r="F18" s="74" t="s">
        <v>162</v>
      </c>
      <c r="G18" s="90" t="s">
        <v>163</v>
      </c>
      <c r="H18" s="78" t="s">
        <v>94</v>
      </c>
      <c r="I18" s="76" t="s">
        <v>95</v>
      </c>
      <c r="J18" s="76" t="s">
        <v>95</v>
      </c>
      <c r="K18" s="78"/>
      <c r="L18" s="101"/>
      <c r="M18" s="101"/>
      <c r="N18" s="101" t="s">
        <v>96</v>
      </c>
      <c r="O18" s="101"/>
      <c r="P18" s="90" t="s">
        <v>164</v>
      </c>
      <c r="Q18" s="78" t="s">
        <v>165</v>
      </c>
      <c r="R18" s="78" t="s">
        <v>109</v>
      </c>
      <c r="S18" s="78" t="s">
        <v>100</v>
      </c>
      <c r="T18" s="74" t="s">
        <v>101</v>
      </c>
      <c r="U18" s="74" t="s">
        <v>110</v>
      </c>
      <c r="V18" s="74" t="s">
        <v>95</v>
      </c>
      <c r="W18" s="90"/>
      <c r="X18" s="90"/>
      <c r="Y18" s="90"/>
    </row>
    <row r="19" spans="1:25" ht="48">
      <c r="A19" s="72" t="s">
        <v>158</v>
      </c>
      <c r="B19" s="89" t="s">
        <v>159</v>
      </c>
      <c r="C19" s="100" t="s">
        <v>89</v>
      </c>
      <c r="D19" s="73" t="s">
        <v>160</v>
      </c>
      <c r="E19" s="90" t="s">
        <v>161</v>
      </c>
      <c r="F19" s="74" t="s">
        <v>166</v>
      </c>
      <c r="G19" s="90" t="s">
        <v>167</v>
      </c>
      <c r="H19" s="78" t="s">
        <v>94</v>
      </c>
      <c r="I19" s="76" t="s">
        <v>95</v>
      </c>
      <c r="J19" s="76" t="s">
        <v>95</v>
      </c>
      <c r="K19" s="78"/>
      <c r="L19" s="101"/>
      <c r="M19" s="101"/>
      <c r="N19" s="101" t="s">
        <v>96</v>
      </c>
      <c r="O19" s="101"/>
      <c r="P19" s="90" t="s">
        <v>168</v>
      </c>
      <c r="Q19" s="78" t="s">
        <v>165</v>
      </c>
      <c r="R19" s="78" t="s">
        <v>169</v>
      </c>
      <c r="S19" s="78" t="s">
        <v>100</v>
      </c>
      <c r="T19" s="74" t="s">
        <v>101</v>
      </c>
      <c r="U19" s="74" t="s">
        <v>110</v>
      </c>
      <c r="V19" s="76" t="s">
        <v>95</v>
      </c>
      <c r="W19" s="90"/>
      <c r="X19" s="90"/>
      <c r="Y19" s="90"/>
    </row>
    <row r="20" spans="1:25" ht="36">
      <c r="A20" s="72" t="s">
        <v>158</v>
      </c>
      <c r="B20" s="89" t="s">
        <v>159</v>
      </c>
      <c r="C20" s="100" t="s">
        <v>147</v>
      </c>
      <c r="D20" s="73" t="s">
        <v>170</v>
      </c>
      <c r="E20" s="91" t="s">
        <v>171</v>
      </c>
      <c r="F20" s="74" t="s">
        <v>172</v>
      </c>
      <c r="G20" s="90" t="s">
        <v>173</v>
      </c>
      <c r="H20" s="78" t="s">
        <v>94</v>
      </c>
      <c r="I20" s="76" t="s">
        <v>95</v>
      </c>
      <c r="J20" s="76" t="s">
        <v>37</v>
      </c>
      <c r="K20" s="78"/>
      <c r="L20" s="101"/>
      <c r="M20" s="101" t="s">
        <v>96</v>
      </c>
      <c r="N20" s="101"/>
      <c r="O20" s="101"/>
      <c r="P20" s="90" t="s">
        <v>174</v>
      </c>
      <c r="Q20" s="78" t="s">
        <v>165</v>
      </c>
      <c r="R20" s="78" t="s">
        <v>169</v>
      </c>
      <c r="S20" s="78" t="s">
        <v>100</v>
      </c>
      <c r="T20" s="74" t="s">
        <v>101</v>
      </c>
      <c r="U20" s="74" t="s">
        <v>110</v>
      </c>
      <c r="V20" s="74" t="s">
        <v>37</v>
      </c>
      <c r="W20" s="90"/>
      <c r="X20" s="90"/>
      <c r="Y20" s="90"/>
    </row>
    <row r="21" spans="1:25" ht="48">
      <c r="A21" s="72" t="s">
        <v>158</v>
      </c>
      <c r="B21" s="89" t="s">
        <v>175</v>
      </c>
      <c r="C21" s="100" t="s">
        <v>89</v>
      </c>
      <c r="D21" s="73" t="s">
        <v>176</v>
      </c>
      <c r="E21" s="91" t="s">
        <v>177</v>
      </c>
      <c r="F21" s="74" t="s">
        <v>178</v>
      </c>
      <c r="G21" s="90" t="s">
        <v>179</v>
      </c>
      <c r="H21" s="78" t="s">
        <v>94</v>
      </c>
      <c r="I21" s="76" t="s">
        <v>37</v>
      </c>
      <c r="J21" s="76" t="s">
        <v>95</v>
      </c>
      <c r="K21" s="78"/>
      <c r="L21" s="101"/>
      <c r="M21" s="101" t="s">
        <v>96</v>
      </c>
      <c r="N21" s="101"/>
      <c r="O21" s="101"/>
      <c r="P21" s="90"/>
      <c r="Q21" s="78" t="s">
        <v>165</v>
      </c>
      <c r="R21" s="78" t="s">
        <v>99</v>
      </c>
      <c r="S21" s="78" t="s">
        <v>100</v>
      </c>
      <c r="T21" s="74" t="s">
        <v>101</v>
      </c>
      <c r="U21" s="74" t="s">
        <v>110</v>
      </c>
      <c r="V21" s="76" t="s">
        <v>95</v>
      </c>
      <c r="W21" s="90"/>
      <c r="X21" s="90"/>
      <c r="Y21" s="90"/>
    </row>
    <row r="22" spans="1:25" ht="48">
      <c r="A22" s="72" t="s">
        <v>158</v>
      </c>
      <c r="B22" s="89" t="s">
        <v>175</v>
      </c>
      <c r="C22" s="100" t="s">
        <v>89</v>
      </c>
      <c r="D22" s="73" t="s">
        <v>176</v>
      </c>
      <c r="E22" s="91" t="s">
        <v>177</v>
      </c>
      <c r="F22" s="74" t="s">
        <v>180</v>
      </c>
      <c r="G22" s="90" t="s">
        <v>181</v>
      </c>
      <c r="H22" s="78" t="s">
        <v>94</v>
      </c>
      <c r="I22" s="76" t="s">
        <v>37</v>
      </c>
      <c r="J22" s="76" t="s">
        <v>95</v>
      </c>
      <c r="K22" s="78"/>
      <c r="L22" s="101"/>
      <c r="M22" s="101" t="s">
        <v>96</v>
      </c>
      <c r="N22" s="101"/>
      <c r="O22" s="101"/>
      <c r="P22" s="90"/>
      <c r="Q22" s="78" t="s">
        <v>165</v>
      </c>
      <c r="R22" s="78" t="s">
        <v>99</v>
      </c>
      <c r="S22" s="78" t="s">
        <v>100</v>
      </c>
      <c r="T22" s="74" t="s">
        <v>101</v>
      </c>
      <c r="U22" s="74" t="s">
        <v>110</v>
      </c>
      <c r="V22" s="74" t="s">
        <v>37</v>
      </c>
      <c r="W22" s="90"/>
      <c r="X22" s="90"/>
      <c r="Y22" s="90"/>
    </row>
    <row r="23" spans="1:25" ht="36">
      <c r="A23" s="72" t="s">
        <v>158</v>
      </c>
      <c r="B23" s="89" t="s">
        <v>182</v>
      </c>
      <c r="C23" s="100" t="s">
        <v>147</v>
      </c>
      <c r="D23" s="73" t="s">
        <v>183</v>
      </c>
      <c r="E23" s="91" t="s">
        <v>184</v>
      </c>
      <c r="F23" s="74" t="s">
        <v>185</v>
      </c>
      <c r="G23" s="90" t="s">
        <v>186</v>
      </c>
      <c r="H23" s="78" t="s">
        <v>94</v>
      </c>
      <c r="I23" s="76" t="s">
        <v>95</v>
      </c>
      <c r="J23" s="76" t="s">
        <v>37</v>
      </c>
      <c r="K23" s="78" t="s">
        <v>96</v>
      </c>
      <c r="L23" s="78" t="s">
        <v>96</v>
      </c>
      <c r="M23" s="78"/>
      <c r="N23" s="78"/>
      <c r="O23" s="78"/>
      <c r="P23" s="90" t="s">
        <v>187</v>
      </c>
      <c r="Q23" s="78" t="s">
        <v>165</v>
      </c>
      <c r="R23" s="78" t="s">
        <v>99</v>
      </c>
      <c r="S23" s="78" t="s">
        <v>100</v>
      </c>
      <c r="T23" s="74" t="s">
        <v>101</v>
      </c>
      <c r="U23" s="74" t="s">
        <v>102</v>
      </c>
      <c r="V23" s="74" t="s">
        <v>37</v>
      </c>
      <c r="W23" s="90"/>
      <c r="X23" s="90"/>
      <c r="Y23" s="90"/>
    </row>
    <row r="24" spans="1:25" ht="36">
      <c r="A24" s="72" t="s">
        <v>158</v>
      </c>
      <c r="B24" s="89" t="s">
        <v>188</v>
      </c>
      <c r="C24" s="100" t="s">
        <v>147</v>
      </c>
      <c r="D24" s="73" t="s">
        <v>189</v>
      </c>
      <c r="E24" s="91" t="s">
        <v>190</v>
      </c>
      <c r="F24" s="74" t="s">
        <v>191</v>
      </c>
      <c r="G24" s="90" t="s">
        <v>192</v>
      </c>
      <c r="H24" s="78" t="s">
        <v>94</v>
      </c>
      <c r="I24" s="78" t="s">
        <v>37</v>
      </c>
      <c r="J24" s="78" t="s">
        <v>37</v>
      </c>
      <c r="K24" s="78" t="s">
        <v>96</v>
      </c>
      <c r="L24" s="78" t="s">
        <v>96</v>
      </c>
      <c r="M24" s="78" t="s">
        <v>96</v>
      </c>
      <c r="N24" s="78"/>
      <c r="O24" s="78"/>
      <c r="P24" s="90" t="s">
        <v>187</v>
      </c>
      <c r="Q24" s="78" t="s">
        <v>165</v>
      </c>
      <c r="R24" s="78" t="s">
        <v>99</v>
      </c>
      <c r="S24" s="78" t="s">
        <v>100</v>
      </c>
      <c r="T24" s="74" t="s">
        <v>101</v>
      </c>
      <c r="U24" s="74" t="s">
        <v>102</v>
      </c>
      <c r="V24" s="74" t="s">
        <v>95</v>
      </c>
      <c r="W24" s="90"/>
      <c r="X24" s="90"/>
      <c r="Y24" s="90"/>
    </row>
    <row r="25" spans="1:25" ht="72">
      <c r="A25" s="72" t="s">
        <v>158</v>
      </c>
      <c r="B25" s="89" t="s">
        <v>193</v>
      </c>
      <c r="C25" s="100" t="s">
        <v>147</v>
      </c>
      <c r="D25" s="73" t="s">
        <v>194</v>
      </c>
      <c r="E25" s="90" t="s">
        <v>195</v>
      </c>
      <c r="F25" s="74" t="s">
        <v>196</v>
      </c>
      <c r="G25" s="90" t="s">
        <v>197</v>
      </c>
      <c r="H25" s="78" t="s">
        <v>198</v>
      </c>
      <c r="I25" s="78" t="s">
        <v>37</v>
      </c>
      <c r="J25" s="78" t="s">
        <v>37</v>
      </c>
      <c r="K25" s="78" t="s">
        <v>96</v>
      </c>
      <c r="L25" s="78"/>
      <c r="M25" s="78" t="s">
        <v>96</v>
      </c>
      <c r="N25" s="78"/>
      <c r="O25" s="78"/>
      <c r="P25" s="90" t="s">
        <v>199</v>
      </c>
      <c r="Q25" s="78" t="s">
        <v>165</v>
      </c>
      <c r="R25" s="78" t="s">
        <v>169</v>
      </c>
      <c r="S25" s="76" t="s">
        <v>100</v>
      </c>
      <c r="T25" s="76" t="s">
        <v>101</v>
      </c>
      <c r="U25" s="74" t="s">
        <v>110</v>
      </c>
      <c r="V25" s="74" t="s">
        <v>95</v>
      </c>
      <c r="W25" s="90"/>
      <c r="X25" s="85"/>
      <c r="Y25" s="90"/>
    </row>
    <row r="26" spans="1:25" ht="84">
      <c r="A26" s="72" t="s">
        <v>158</v>
      </c>
      <c r="B26" s="89" t="s">
        <v>193</v>
      </c>
      <c r="C26" s="100" t="s">
        <v>89</v>
      </c>
      <c r="D26" s="73" t="s">
        <v>200</v>
      </c>
      <c r="E26" s="90" t="s">
        <v>201</v>
      </c>
      <c r="F26" s="74" t="s">
        <v>202</v>
      </c>
      <c r="G26" s="90" t="s">
        <v>203</v>
      </c>
      <c r="H26" s="78" t="s">
        <v>198</v>
      </c>
      <c r="I26" s="78" t="s">
        <v>37</v>
      </c>
      <c r="J26" s="78" t="s">
        <v>37</v>
      </c>
      <c r="K26" s="78" t="s">
        <v>96</v>
      </c>
      <c r="L26" s="78"/>
      <c r="M26" s="78" t="s">
        <v>96</v>
      </c>
      <c r="N26" s="78"/>
      <c r="O26" s="78"/>
      <c r="P26" s="90" t="s">
        <v>204</v>
      </c>
      <c r="Q26" s="78" t="s">
        <v>165</v>
      </c>
      <c r="R26" s="78" t="s">
        <v>169</v>
      </c>
      <c r="S26" s="78" t="s">
        <v>100</v>
      </c>
      <c r="T26" s="74" t="s">
        <v>101</v>
      </c>
      <c r="U26" s="74" t="s">
        <v>102</v>
      </c>
      <c r="V26" s="74" t="s">
        <v>95</v>
      </c>
      <c r="W26" s="90" t="s">
        <v>205</v>
      </c>
      <c r="X26" s="85" t="s">
        <v>206</v>
      </c>
      <c r="Y26" s="90"/>
    </row>
    <row r="27" spans="1:25" ht="48">
      <c r="A27" s="72" t="s">
        <v>158</v>
      </c>
      <c r="B27" s="89" t="s">
        <v>207</v>
      </c>
      <c r="C27" s="100" t="s">
        <v>147</v>
      </c>
      <c r="D27" s="73" t="s">
        <v>208</v>
      </c>
      <c r="E27" s="90" t="s">
        <v>209</v>
      </c>
      <c r="F27" s="74" t="s">
        <v>210</v>
      </c>
      <c r="G27" s="90" t="s">
        <v>211</v>
      </c>
      <c r="H27" s="78" t="s">
        <v>94</v>
      </c>
      <c r="I27" s="78" t="s">
        <v>37</v>
      </c>
      <c r="J27" s="78" t="s">
        <v>37</v>
      </c>
      <c r="K27" s="78" t="s">
        <v>96</v>
      </c>
      <c r="L27" s="78" t="s">
        <v>96</v>
      </c>
      <c r="M27" s="78"/>
      <c r="N27" s="78" t="s">
        <v>96</v>
      </c>
      <c r="O27" s="78"/>
      <c r="P27" s="90" t="s">
        <v>212</v>
      </c>
      <c r="Q27" s="78" t="s">
        <v>213</v>
      </c>
      <c r="R27" s="78" t="s">
        <v>169</v>
      </c>
      <c r="S27" s="78" t="s">
        <v>100</v>
      </c>
      <c r="T27" s="74" t="s">
        <v>101</v>
      </c>
      <c r="U27" s="74" t="s">
        <v>110</v>
      </c>
      <c r="V27" s="74" t="s">
        <v>37</v>
      </c>
      <c r="W27" s="90"/>
      <c r="X27" s="90"/>
      <c r="Y27" s="90"/>
    </row>
    <row r="28" spans="1:25" ht="36">
      <c r="A28" s="72" t="s">
        <v>158</v>
      </c>
      <c r="B28" s="89" t="s">
        <v>214</v>
      </c>
      <c r="C28" s="100" t="s">
        <v>147</v>
      </c>
      <c r="D28" s="73" t="s">
        <v>215</v>
      </c>
      <c r="E28" s="90" t="s">
        <v>216</v>
      </c>
      <c r="F28" s="74" t="s">
        <v>217</v>
      </c>
      <c r="G28" s="90" t="s">
        <v>218</v>
      </c>
      <c r="H28" s="78" t="s">
        <v>94</v>
      </c>
      <c r="I28" s="78" t="s">
        <v>37</v>
      </c>
      <c r="J28" s="78" t="s">
        <v>37</v>
      </c>
      <c r="K28" s="78" t="s">
        <v>96</v>
      </c>
      <c r="L28" s="78" t="s">
        <v>96</v>
      </c>
      <c r="M28" s="78"/>
      <c r="N28" s="78" t="s">
        <v>96</v>
      </c>
      <c r="O28" s="78"/>
      <c r="P28" s="90"/>
      <c r="Q28" s="78" t="s">
        <v>165</v>
      </c>
      <c r="R28" s="78"/>
      <c r="S28" s="78" t="s">
        <v>100</v>
      </c>
      <c r="T28" s="74" t="s">
        <v>101</v>
      </c>
      <c r="U28" s="74" t="s">
        <v>110</v>
      </c>
      <c r="V28" s="74" t="s">
        <v>95</v>
      </c>
      <c r="W28" s="90"/>
      <c r="X28" s="90"/>
      <c r="Y28" s="90"/>
    </row>
    <row r="29" spans="1:25" ht="60">
      <c r="A29" s="72" t="s">
        <v>158</v>
      </c>
      <c r="B29" s="89" t="s">
        <v>219</v>
      </c>
      <c r="C29" s="100" t="s">
        <v>147</v>
      </c>
      <c r="D29" s="73" t="s">
        <v>220</v>
      </c>
      <c r="E29" s="90" t="s">
        <v>221</v>
      </c>
      <c r="F29" s="74" t="s">
        <v>222</v>
      </c>
      <c r="G29" s="90" t="s">
        <v>223</v>
      </c>
      <c r="H29" s="78" t="s">
        <v>94</v>
      </c>
      <c r="I29" s="78" t="s">
        <v>37</v>
      </c>
      <c r="J29" s="78" t="s">
        <v>37</v>
      </c>
      <c r="K29" s="78" t="s">
        <v>96</v>
      </c>
      <c r="L29" s="78" t="s">
        <v>96</v>
      </c>
      <c r="M29" s="78"/>
      <c r="N29" s="78" t="s">
        <v>96</v>
      </c>
      <c r="O29" s="78"/>
      <c r="P29" s="90"/>
      <c r="Q29" s="78" t="s">
        <v>165</v>
      </c>
      <c r="R29" s="78"/>
      <c r="S29" s="78" t="s">
        <v>100</v>
      </c>
      <c r="T29" s="74" t="s">
        <v>101</v>
      </c>
      <c r="U29" s="74" t="s">
        <v>110</v>
      </c>
      <c r="V29" s="74" t="s">
        <v>37</v>
      </c>
      <c r="W29" s="90"/>
      <c r="X29" s="90"/>
      <c r="Y29" s="90"/>
    </row>
  </sheetData>
  <autoFilter ref="A6:AA29" xr:uid="{00000000-0009-0000-0000-000003000000}"/>
  <mergeCells count="4">
    <mergeCell ref="K5:O5"/>
    <mergeCell ref="A1:E1"/>
    <mergeCell ref="Q5:V5"/>
    <mergeCell ref="W5:X5"/>
  </mergeCells>
  <conditionalFormatting sqref="C23">
    <cfRule type="containsText" dxfId="20" priority="46" operator="containsText" text="Medium">
      <formula>NOT(ISERROR(SEARCH("Medium",C23)))</formula>
    </cfRule>
    <cfRule type="containsText" dxfId="19" priority="47" operator="containsText" text="Low">
      <formula>NOT(ISERROR(SEARCH("Low",C23)))</formula>
    </cfRule>
    <cfRule type="containsText" dxfId="18" priority="48" operator="containsText" text="High">
      <formula>NOT(ISERROR(SEARCH("High",C23)))</formula>
    </cfRule>
  </conditionalFormatting>
  <conditionalFormatting sqref="C24">
    <cfRule type="containsText" dxfId="17" priority="31" operator="containsText" text="Medium">
      <formula>NOT(ISERROR(SEARCH("Medium",C24)))</formula>
    </cfRule>
    <cfRule type="containsText" dxfId="16" priority="32" operator="containsText" text="Low">
      <formula>NOT(ISERROR(SEARCH("Low",C24)))</formula>
    </cfRule>
    <cfRule type="containsText" dxfId="15" priority="33" operator="containsText" text="High">
      <formula>NOT(ISERROR(SEARCH("High",C24)))</formula>
    </cfRule>
  </conditionalFormatting>
  <conditionalFormatting sqref="C27">
    <cfRule type="containsText" dxfId="14" priority="19" operator="containsText" text="Medium">
      <formula>NOT(ISERROR(SEARCH("Medium",C27)))</formula>
    </cfRule>
    <cfRule type="containsText" dxfId="13" priority="20" operator="containsText" text="Low">
      <formula>NOT(ISERROR(SEARCH("Low",C27)))</formula>
    </cfRule>
    <cfRule type="containsText" dxfId="12" priority="21" operator="containsText" text="High">
      <formula>NOT(ISERROR(SEARCH("High",C27)))</formula>
    </cfRule>
  </conditionalFormatting>
  <conditionalFormatting sqref="C28">
    <cfRule type="containsText" dxfId="11" priority="16" operator="containsText" text="Medium">
      <formula>NOT(ISERROR(SEARCH("Medium",C28)))</formula>
    </cfRule>
    <cfRule type="containsText" dxfId="10" priority="17" operator="containsText" text="Low">
      <formula>NOT(ISERROR(SEARCH("Low",C28)))</formula>
    </cfRule>
    <cfRule type="containsText" dxfId="9" priority="18" operator="containsText" text="High">
      <formula>NOT(ISERROR(SEARCH("High",C28)))</formula>
    </cfRule>
  </conditionalFormatting>
  <conditionalFormatting sqref="C25">
    <cfRule type="containsText" dxfId="8" priority="10" operator="containsText" text="Medium">
      <formula>NOT(ISERROR(SEARCH("Medium",C25)))</formula>
    </cfRule>
    <cfRule type="containsText" dxfId="7" priority="11" operator="containsText" text="Low">
      <formula>NOT(ISERROR(SEARCH("Low",C25)))</formula>
    </cfRule>
    <cfRule type="containsText" dxfId="6" priority="12" operator="containsText" text="High">
      <formula>NOT(ISERROR(SEARCH("High",C25)))</formula>
    </cfRule>
  </conditionalFormatting>
  <conditionalFormatting sqref="C26">
    <cfRule type="containsText" dxfId="5" priority="7" operator="containsText" text="Medium">
      <formula>NOT(ISERROR(SEARCH("Medium",C26)))</formula>
    </cfRule>
    <cfRule type="containsText" dxfId="4" priority="8" operator="containsText" text="Low">
      <formula>NOT(ISERROR(SEARCH("Low",C26)))</formula>
    </cfRule>
    <cfRule type="containsText" dxfId="3" priority="9" operator="containsText" text="High">
      <formula>NOT(ISERROR(SEARCH("High",C26)))</formula>
    </cfRule>
  </conditionalFormatting>
  <conditionalFormatting sqref="C7:C29">
    <cfRule type="containsText" dxfId="2" priority="1" operator="containsText" text="Medium">
      <formula>NOT(ISERROR(SEARCH("Medium",C7)))</formula>
    </cfRule>
    <cfRule type="containsText" dxfId="1" priority="2" operator="containsText" text="Low">
      <formula>NOT(ISERROR(SEARCH("Low",C7)))</formula>
    </cfRule>
    <cfRule type="containsText" dxfId="0" priority="3" operator="containsText" text="High">
      <formula>NOT(ISERROR(SEARCH("High",C7)))</formula>
    </cfRule>
  </conditionalFormatting>
  <dataValidations count="2">
    <dataValidation type="list" allowBlank="1" showInputMessage="1" showErrorMessage="1" sqref="V18 V20 V22:V29" xr:uid="{00000000-0002-0000-0300-000000000000}">
      <formula1>"Yes, No, N/A"</formula1>
    </dataValidation>
    <dataValidation type="list" allowBlank="1" showInputMessage="1" showErrorMessage="1" sqref="S7:S9" xr:uid="{00000000-0002-0000-0300-000001000000}">
      <formula1>"Manual, Automated, IT Dependent"</formula1>
    </dataValidation>
  </dataValidations>
  <pageMargins left="0.7" right="0.7" top="0.75" bottom="0.75" header="0.3" footer="0.3"/>
  <pageSetup paperSize="9" orientation="portrait" horizontalDpi="3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2000000}">
          <x14:formula1>
            <xm:f>'https://eyindia-my.sharepoint.com/Work/Hindalco/IFC Controls Testing/2015-16/Working Papers/Hindalco RACM/RACMs 24 Aug 2015/[Production.xlsx]Sheet2'!#REF!</xm:f>
          </x14:formula1>
          <xm:sqref>R11:R17 R9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8"/>
  <sheetViews>
    <sheetView showGridLines="0" workbookViewId="0">
      <selection activeCell="E8" sqref="E8"/>
    </sheetView>
  </sheetViews>
  <sheetFormatPr defaultRowHeight="12"/>
  <cols>
    <col min="1" max="1" width="6.85546875" style="80" bestFit="1" customWidth="1"/>
    <col min="2" max="2" width="13.140625" style="80" bestFit="1" customWidth="1"/>
    <col min="3" max="3" width="20.5703125" style="80" customWidth="1"/>
    <col min="4" max="4" width="8.140625" style="80" bestFit="1" customWidth="1"/>
    <col min="5" max="5" width="35.28515625" style="80" customWidth="1"/>
    <col min="6" max="6" width="11.42578125" style="80" bestFit="1" customWidth="1"/>
    <col min="7" max="7" width="44.42578125" style="80" customWidth="1"/>
    <col min="8" max="8" width="14.28515625" style="80" customWidth="1"/>
    <col min="9" max="9" width="33.42578125" style="80" customWidth="1"/>
    <col min="10" max="10" width="22.5703125" style="80" customWidth="1"/>
    <col min="11" max="11" width="27.42578125" style="80" bestFit="1" customWidth="1"/>
    <col min="12" max="16384" width="9.140625" style="80"/>
  </cols>
  <sheetData>
    <row r="1" spans="1:11">
      <c r="A1" s="153" t="s">
        <v>224</v>
      </c>
      <c r="B1" s="153"/>
      <c r="C1" s="153"/>
      <c r="D1" s="153"/>
      <c r="E1" s="153"/>
    </row>
    <row r="2" spans="1:11">
      <c r="A2" s="60" t="s">
        <v>53</v>
      </c>
      <c r="B2" s="61" t="s">
        <v>54</v>
      </c>
      <c r="C2" s="62"/>
      <c r="D2" s="62"/>
      <c r="E2" s="62"/>
    </row>
    <row r="3" spans="1:11">
      <c r="A3" s="60" t="s">
        <v>55</v>
      </c>
      <c r="B3" s="61" t="s">
        <v>56</v>
      </c>
      <c r="C3" s="62"/>
      <c r="D3" s="62"/>
      <c r="E3" s="62"/>
    </row>
    <row r="4" spans="1:11">
      <c r="A4" s="64" t="s">
        <v>57</v>
      </c>
      <c r="B4" s="65" t="s">
        <v>58</v>
      </c>
      <c r="C4" s="62"/>
      <c r="D4" s="62"/>
      <c r="E4" s="62"/>
    </row>
    <row r="5" spans="1:11" s="63" customFormat="1">
      <c r="A5" s="152" t="s">
        <v>225</v>
      </c>
      <c r="B5" s="152" t="s">
        <v>226</v>
      </c>
      <c r="C5" s="152" t="s">
        <v>64</v>
      </c>
      <c r="D5" s="152" t="s">
        <v>227</v>
      </c>
      <c r="E5" s="152" t="s">
        <v>67</v>
      </c>
      <c r="F5" s="152" t="s">
        <v>228</v>
      </c>
      <c r="G5" s="152" t="s">
        <v>229</v>
      </c>
      <c r="H5" s="152" t="s">
        <v>230</v>
      </c>
      <c r="I5" s="152"/>
      <c r="J5" s="152"/>
      <c r="K5" s="152"/>
    </row>
    <row r="6" spans="1:11" s="63" customFormat="1" ht="33.75" customHeight="1">
      <c r="A6" s="152"/>
      <c r="B6" s="152"/>
      <c r="C6" s="152"/>
      <c r="D6" s="152"/>
      <c r="E6" s="152"/>
      <c r="F6" s="152"/>
      <c r="G6" s="152"/>
      <c r="H6" s="152"/>
      <c r="I6" s="81" t="s">
        <v>231</v>
      </c>
      <c r="J6" s="81" t="s">
        <v>232</v>
      </c>
      <c r="K6" s="81" t="s">
        <v>233</v>
      </c>
    </row>
    <row r="7" spans="1:11" s="63" customFormat="1" ht="148.5">
      <c r="A7" s="76">
        <v>1</v>
      </c>
      <c r="B7" s="82" t="s">
        <v>234</v>
      </c>
      <c r="C7" s="83" t="s">
        <v>193</v>
      </c>
      <c r="D7" s="73" t="s">
        <v>235</v>
      </c>
      <c r="E7" s="84" t="s">
        <v>201</v>
      </c>
      <c r="F7" s="85" t="s">
        <v>206</v>
      </c>
      <c r="G7" s="84" t="s">
        <v>236</v>
      </c>
      <c r="H7" s="86" t="s">
        <v>37</v>
      </c>
      <c r="I7" s="87" t="s">
        <v>237</v>
      </c>
      <c r="J7" s="79"/>
      <c r="K7" s="61"/>
    </row>
    <row r="8" spans="1:11" s="63" customFormat="1" ht="54">
      <c r="A8" s="76">
        <v>1</v>
      </c>
      <c r="B8" s="82" t="s">
        <v>234</v>
      </c>
      <c r="C8" s="83" t="s">
        <v>238</v>
      </c>
      <c r="D8" s="73" t="s">
        <v>239</v>
      </c>
      <c r="E8" s="88" t="s">
        <v>240</v>
      </c>
      <c r="F8" s="85" t="s">
        <v>206</v>
      </c>
      <c r="G8" s="84" t="s">
        <v>241</v>
      </c>
      <c r="H8" s="86" t="s">
        <v>37</v>
      </c>
      <c r="I8" s="87" t="s">
        <v>242</v>
      </c>
      <c r="J8" s="79"/>
      <c r="K8" s="61"/>
    </row>
  </sheetData>
  <mergeCells count="10">
    <mergeCell ref="G5:G6"/>
    <mergeCell ref="H5:H6"/>
    <mergeCell ref="I5:K5"/>
    <mergeCell ref="A1:E1"/>
    <mergeCell ref="A5:A6"/>
    <mergeCell ref="B5:B6"/>
    <mergeCell ref="C5:C6"/>
    <mergeCell ref="D5:D6"/>
    <mergeCell ref="E5:E6"/>
    <mergeCell ref="F5:F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74"/>
  <sheetViews>
    <sheetView workbookViewId="0">
      <selection activeCell="E18" sqref="E18"/>
    </sheetView>
  </sheetViews>
  <sheetFormatPr defaultRowHeight="15"/>
  <cols>
    <col min="3" max="3" width="24" customWidth="1"/>
    <col min="4" max="4" width="30.85546875" customWidth="1"/>
    <col min="5" max="5" width="17.85546875" customWidth="1"/>
    <col min="6" max="6" width="22.28515625" customWidth="1"/>
    <col min="7" max="7" width="23.28515625" customWidth="1"/>
  </cols>
  <sheetData>
    <row r="1" spans="1:6">
      <c r="A1" t="s">
        <v>243</v>
      </c>
    </row>
    <row r="2" spans="1:6">
      <c r="A2">
        <v>1</v>
      </c>
      <c r="B2" t="s">
        <v>244</v>
      </c>
    </row>
    <row r="3" spans="1:6">
      <c r="A3">
        <v>2</v>
      </c>
      <c r="B3" t="s">
        <v>245</v>
      </c>
    </row>
    <row r="4" spans="1:6">
      <c r="A4">
        <v>3</v>
      </c>
      <c r="B4" t="s">
        <v>246</v>
      </c>
    </row>
    <row r="5" spans="1:6">
      <c r="A5">
        <v>4</v>
      </c>
      <c r="B5" t="s">
        <v>247</v>
      </c>
    </row>
    <row r="6" spans="1:6">
      <c r="A6">
        <v>5</v>
      </c>
      <c r="B6" t="s">
        <v>248</v>
      </c>
    </row>
    <row r="7" spans="1:6">
      <c r="A7">
        <v>6</v>
      </c>
      <c r="B7" t="s">
        <v>249</v>
      </c>
    </row>
    <row r="8" spans="1:6">
      <c r="A8">
        <v>7</v>
      </c>
      <c r="B8" t="s">
        <v>250</v>
      </c>
    </row>
    <row r="9" spans="1:6">
      <c r="A9">
        <v>8</v>
      </c>
      <c r="B9" t="s">
        <v>251</v>
      </c>
    </row>
    <row r="10" spans="1:6">
      <c r="B10" s="1" t="s">
        <v>252</v>
      </c>
      <c r="C10" s="1" t="s">
        <v>253</v>
      </c>
      <c r="D10" s="1" t="s">
        <v>254</v>
      </c>
      <c r="E10" s="1" t="s">
        <v>255</v>
      </c>
      <c r="F10" s="1" t="s">
        <v>256</v>
      </c>
    </row>
    <row r="11" spans="1:6" ht="195">
      <c r="B11">
        <v>1</v>
      </c>
      <c r="C11" t="s">
        <v>257</v>
      </c>
      <c r="D11" s="2" t="s">
        <v>258</v>
      </c>
      <c r="E11" t="s">
        <v>259</v>
      </c>
      <c r="F11" t="s">
        <v>260</v>
      </c>
    </row>
    <row r="12" spans="1:6">
      <c r="B12">
        <v>2</v>
      </c>
      <c r="C12" t="s">
        <v>261</v>
      </c>
      <c r="D12" t="s">
        <v>262</v>
      </c>
      <c r="E12" t="s">
        <v>263</v>
      </c>
      <c r="F12" t="s">
        <v>260</v>
      </c>
    </row>
    <row r="13" spans="1:6">
      <c r="B13">
        <v>3</v>
      </c>
      <c r="C13" t="s">
        <v>264</v>
      </c>
      <c r="D13" t="s">
        <v>265</v>
      </c>
      <c r="E13" t="s">
        <v>266</v>
      </c>
      <c r="F13" t="s">
        <v>260</v>
      </c>
    </row>
    <row r="14" spans="1:6">
      <c r="B14">
        <v>4</v>
      </c>
      <c r="C14" t="s">
        <v>267</v>
      </c>
      <c r="D14" t="s">
        <v>268</v>
      </c>
      <c r="E14" t="s">
        <v>269</v>
      </c>
      <c r="F14" t="s">
        <v>270</v>
      </c>
    </row>
    <row r="15" spans="1:6">
      <c r="B15">
        <v>5</v>
      </c>
      <c r="C15" t="s">
        <v>271</v>
      </c>
      <c r="D15" t="s">
        <v>272</v>
      </c>
      <c r="E15" t="s">
        <v>269</v>
      </c>
      <c r="F15" t="s">
        <v>273</v>
      </c>
    </row>
    <row r="16" spans="1:6">
      <c r="B16">
        <v>6</v>
      </c>
      <c r="C16" t="s">
        <v>274</v>
      </c>
      <c r="D16" t="s">
        <v>275</v>
      </c>
      <c r="E16" t="s">
        <v>270</v>
      </c>
      <c r="F16" t="s">
        <v>263</v>
      </c>
    </row>
    <row r="17" spans="1:6">
      <c r="B17">
        <v>7</v>
      </c>
      <c r="C17" t="s">
        <v>276</v>
      </c>
      <c r="D17" t="s">
        <v>277</v>
      </c>
      <c r="E17" t="s">
        <v>278</v>
      </c>
      <c r="F17" t="s">
        <v>279</v>
      </c>
    </row>
    <row r="18" spans="1:6">
      <c r="B18">
        <v>8</v>
      </c>
      <c r="C18" t="s">
        <v>280</v>
      </c>
      <c r="D18" t="s">
        <v>281</v>
      </c>
      <c r="E18" t="s">
        <v>282</v>
      </c>
      <c r="F18" t="s">
        <v>283</v>
      </c>
    </row>
    <row r="19" spans="1:6">
      <c r="A19">
        <v>9</v>
      </c>
      <c r="B19" t="s">
        <v>284</v>
      </c>
    </row>
    <row r="21" spans="1:6">
      <c r="C21" t="s">
        <v>285</v>
      </c>
    </row>
    <row r="22" spans="1:6">
      <c r="C22" t="s">
        <v>286</v>
      </c>
    </row>
    <row r="23" spans="1:6">
      <c r="C23" t="s">
        <v>287</v>
      </c>
    </row>
    <row r="24" spans="1:6">
      <c r="C24" t="s">
        <v>288</v>
      </c>
    </row>
    <row r="25" spans="1:6">
      <c r="C25" t="s">
        <v>289</v>
      </c>
    </row>
    <row r="26" spans="1:6">
      <c r="C26" t="s">
        <v>290</v>
      </c>
    </row>
    <row r="27" spans="1:6">
      <c r="C27" t="s">
        <v>291</v>
      </c>
    </row>
    <row r="28" spans="1:6">
      <c r="C28" t="s">
        <v>292</v>
      </c>
    </row>
    <row r="29" spans="1:6">
      <c r="C29" t="s">
        <v>293</v>
      </c>
    </row>
    <row r="30" spans="1:6">
      <c r="C30" t="s">
        <v>294</v>
      </c>
    </row>
    <row r="32" spans="1:6">
      <c r="C32" t="s">
        <v>295</v>
      </c>
    </row>
    <row r="33" spans="3:3">
      <c r="C33" t="s">
        <v>296</v>
      </c>
    </row>
    <row r="34" spans="3:3">
      <c r="C34" t="s">
        <v>297</v>
      </c>
    </row>
    <row r="35" spans="3:3">
      <c r="C35" t="s">
        <v>298</v>
      </c>
    </row>
    <row r="37" spans="3:3">
      <c r="C37" t="s">
        <v>299</v>
      </c>
    </row>
    <row r="38" spans="3:3">
      <c r="C38" t="s">
        <v>300</v>
      </c>
    </row>
    <row r="39" spans="3:3">
      <c r="C39" t="s">
        <v>301</v>
      </c>
    </row>
    <row r="40" spans="3:3">
      <c r="C40" t="s">
        <v>302</v>
      </c>
    </row>
    <row r="41" spans="3:3">
      <c r="C41" t="s">
        <v>303</v>
      </c>
    </row>
    <row r="42" spans="3:3">
      <c r="C42" t="s">
        <v>304</v>
      </c>
    </row>
    <row r="43" spans="3:3">
      <c r="C43" t="s">
        <v>305</v>
      </c>
    </row>
    <row r="45" spans="3:3">
      <c r="C45" t="s">
        <v>306</v>
      </c>
    </row>
    <row r="47" spans="3:3">
      <c r="C47" t="s">
        <v>307</v>
      </c>
    </row>
    <row r="48" spans="3:3">
      <c r="C48" t="s">
        <v>308</v>
      </c>
    </row>
    <row r="49" spans="3:3">
      <c r="C49" t="s">
        <v>309</v>
      </c>
    </row>
    <row r="50" spans="3:3">
      <c r="C50" t="s">
        <v>310</v>
      </c>
    </row>
    <row r="51" spans="3:3">
      <c r="C51" t="s">
        <v>311</v>
      </c>
    </row>
    <row r="52" spans="3:3">
      <c r="C52" t="s">
        <v>312</v>
      </c>
    </row>
    <row r="53" spans="3:3">
      <c r="C53" t="s">
        <v>313</v>
      </c>
    </row>
    <row r="54" spans="3:3">
      <c r="C54" t="s">
        <v>314</v>
      </c>
    </row>
    <row r="56" spans="3:3">
      <c r="C56" t="s">
        <v>315</v>
      </c>
    </row>
    <row r="57" spans="3:3">
      <c r="C57" t="s">
        <v>316</v>
      </c>
    </row>
    <row r="58" spans="3:3">
      <c r="C58" t="s">
        <v>317</v>
      </c>
    </row>
    <row r="59" spans="3:3">
      <c r="C59" t="s">
        <v>318</v>
      </c>
    </row>
    <row r="60" spans="3:3">
      <c r="C60" t="s">
        <v>319</v>
      </c>
    </row>
    <row r="61" spans="3:3">
      <c r="C61" t="s">
        <v>320</v>
      </c>
    </row>
    <row r="63" spans="3:3">
      <c r="C63" t="s">
        <v>321</v>
      </c>
    </row>
    <row r="65" spans="2:3">
      <c r="B65">
        <v>1</v>
      </c>
      <c r="C65" t="s">
        <v>322</v>
      </c>
    </row>
    <row r="66" spans="2:3">
      <c r="C66" t="s">
        <v>323</v>
      </c>
    </row>
    <row r="67" spans="2:3">
      <c r="C67" t="s">
        <v>324</v>
      </c>
    </row>
    <row r="68" spans="2:3">
      <c r="C68" t="s">
        <v>325</v>
      </c>
    </row>
    <row r="69" spans="2:3">
      <c r="C69" t="s">
        <v>326</v>
      </c>
    </row>
    <row r="70" spans="2:3">
      <c r="C70" t="s">
        <v>327</v>
      </c>
    </row>
    <row r="71" spans="2:3">
      <c r="C71" t="s">
        <v>328</v>
      </c>
    </row>
    <row r="72" spans="2:3">
      <c r="C72" t="s">
        <v>329</v>
      </c>
    </row>
    <row r="74" spans="2:3">
      <c r="C74" t="s">
        <v>330</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8"/>
  <sheetViews>
    <sheetView showGridLines="0" workbookViewId="0">
      <selection activeCell="B24" sqref="B24"/>
    </sheetView>
  </sheetViews>
  <sheetFormatPr defaultRowHeight="12"/>
  <cols>
    <col min="1" max="1" width="2.42578125" style="3" customWidth="1"/>
    <col min="2" max="2" width="26.42578125" style="3" customWidth="1"/>
    <col min="3" max="3" width="14.42578125" style="3" customWidth="1"/>
    <col min="4" max="4" width="15.42578125" style="3" customWidth="1"/>
    <col min="5" max="5" width="15.28515625" style="3" customWidth="1"/>
    <col min="6" max="6" width="18.5703125" style="3" customWidth="1"/>
    <col min="7" max="7" width="2.42578125" style="3" customWidth="1"/>
    <col min="8" max="16384" width="9.140625" style="3"/>
  </cols>
  <sheetData>
    <row r="1" spans="1:7">
      <c r="A1" s="154" t="s">
        <v>10</v>
      </c>
      <c r="B1" s="154"/>
      <c r="C1" s="154"/>
      <c r="D1" s="154"/>
      <c r="E1" s="154"/>
      <c r="F1" s="154"/>
      <c r="G1" s="154"/>
    </row>
    <row r="2" spans="1:7">
      <c r="B2" s="4"/>
      <c r="C2" s="4"/>
      <c r="D2" s="4"/>
      <c r="E2" s="4"/>
      <c r="F2" s="4"/>
    </row>
    <row r="3" spans="1:7" ht="12.75" thickBot="1">
      <c r="A3" s="5"/>
      <c r="B3" s="5"/>
      <c r="C3" s="5"/>
      <c r="D3" s="5"/>
      <c r="E3" s="5"/>
      <c r="F3" s="5"/>
      <c r="G3" s="5"/>
    </row>
    <row r="4" spans="1:7" ht="12" customHeight="1">
      <c r="A4" s="5"/>
      <c r="B4" s="155" t="s">
        <v>331</v>
      </c>
      <c r="C4" s="156"/>
      <c r="D4" s="156"/>
      <c r="E4" s="156"/>
      <c r="F4" s="157"/>
      <c r="G4" s="5"/>
    </row>
    <row r="5" spans="1:7">
      <c r="A5" s="5"/>
      <c r="B5" s="158"/>
      <c r="C5" s="159"/>
      <c r="D5" s="159"/>
      <c r="E5" s="159"/>
      <c r="F5" s="160"/>
      <c r="G5" s="5"/>
    </row>
    <row r="6" spans="1:7">
      <c r="A6" s="5"/>
      <c r="B6" s="158"/>
      <c r="C6" s="159"/>
      <c r="D6" s="159"/>
      <c r="E6" s="159"/>
      <c r="F6" s="160"/>
      <c r="G6" s="5"/>
    </row>
    <row r="7" spans="1:7">
      <c r="A7" s="5"/>
      <c r="B7" s="158"/>
      <c r="C7" s="159"/>
      <c r="D7" s="159"/>
      <c r="E7" s="159"/>
      <c r="F7" s="160"/>
      <c r="G7" s="5"/>
    </row>
    <row r="8" spans="1:7">
      <c r="A8" s="5"/>
      <c r="B8" s="158"/>
      <c r="C8" s="159"/>
      <c r="D8" s="159"/>
      <c r="E8" s="159"/>
      <c r="F8" s="160"/>
      <c r="G8" s="5"/>
    </row>
    <row r="9" spans="1:7">
      <c r="A9" s="5"/>
      <c r="B9" s="158"/>
      <c r="C9" s="159"/>
      <c r="D9" s="159"/>
      <c r="E9" s="159"/>
      <c r="F9" s="160"/>
      <c r="G9" s="5"/>
    </row>
    <row r="10" spans="1:7">
      <c r="A10" s="5"/>
      <c r="B10" s="158"/>
      <c r="C10" s="159"/>
      <c r="D10" s="159"/>
      <c r="E10" s="159"/>
      <c r="F10" s="160"/>
      <c r="G10" s="5"/>
    </row>
    <row r="11" spans="1:7">
      <c r="A11" s="5"/>
      <c r="B11" s="158"/>
      <c r="C11" s="159"/>
      <c r="D11" s="159"/>
      <c r="E11" s="159"/>
      <c r="F11" s="160"/>
      <c r="G11" s="5"/>
    </row>
    <row r="12" spans="1:7">
      <c r="A12" s="5"/>
      <c r="B12" s="158"/>
      <c r="C12" s="159"/>
      <c r="D12" s="159"/>
      <c r="E12" s="159"/>
      <c r="F12" s="160"/>
      <c r="G12" s="5"/>
    </row>
    <row r="13" spans="1:7">
      <c r="A13" s="5"/>
      <c r="B13" s="158"/>
      <c r="C13" s="159"/>
      <c r="D13" s="159"/>
      <c r="E13" s="159"/>
      <c r="F13" s="160"/>
      <c r="G13" s="5"/>
    </row>
    <row r="14" spans="1:7">
      <c r="A14" s="5"/>
      <c r="B14" s="158"/>
      <c r="C14" s="159"/>
      <c r="D14" s="159"/>
      <c r="E14" s="159"/>
      <c r="F14" s="160"/>
      <c r="G14" s="5"/>
    </row>
    <row r="15" spans="1:7">
      <c r="A15" s="5"/>
      <c r="B15" s="158"/>
      <c r="C15" s="159"/>
      <c r="D15" s="159"/>
      <c r="E15" s="159"/>
      <c r="F15" s="160"/>
      <c r="G15" s="5"/>
    </row>
    <row r="16" spans="1:7">
      <c r="A16" s="5"/>
      <c r="B16" s="158"/>
      <c r="C16" s="159"/>
      <c r="D16" s="159"/>
      <c r="E16" s="159"/>
      <c r="F16" s="160"/>
      <c r="G16" s="5"/>
    </row>
    <row r="17" spans="1:7">
      <c r="A17" s="5"/>
      <c r="B17" s="158"/>
      <c r="C17" s="159"/>
      <c r="D17" s="159"/>
      <c r="E17" s="159"/>
      <c r="F17" s="160"/>
      <c r="G17" s="5"/>
    </row>
    <row r="18" spans="1:7">
      <c r="A18" s="5"/>
      <c r="B18" s="158"/>
      <c r="C18" s="159"/>
      <c r="D18" s="159"/>
      <c r="E18" s="159"/>
      <c r="F18" s="160"/>
      <c r="G18" s="5"/>
    </row>
    <row r="19" spans="1:7">
      <c r="A19" s="5"/>
      <c r="B19" s="158"/>
      <c r="C19" s="159"/>
      <c r="D19" s="159"/>
      <c r="E19" s="159"/>
      <c r="F19" s="160"/>
      <c r="G19" s="5"/>
    </row>
    <row r="20" spans="1:7">
      <c r="A20" s="5"/>
      <c r="B20" s="158"/>
      <c r="C20" s="159"/>
      <c r="D20" s="159"/>
      <c r="E20" s="159"/>
      <c r="F20" s="160"/>
      <c r="G20" s="5"/>
    </row>
    <row r="21" spans="1:7">
      <c r="A21" s="5"/>
      <c r="B21" s="158"/>
      <c r="C21" s="159"/>
      <c r="D21" s="159"/>
      <c r="E21" s="159"/>
      <c r="F21" s="160"/>
      <c r="G21" s="5"/>
    </row>
    <row r="22" spans="1:7">
      <c r="A22" s="5"/>
      <c r="B22" s="158"/>
      <c r="C22" s="159"/>
      <c r="D22" s="159"/>
      <c r="E22" s="159"/>
      <c r="F22" s="160"/>
      <c r="G22" s="5"/>
    </row>
    <row r="23" spans="1:7" ht="12.75" thickBot="1">
      <c r="A23" s="5"/>
      <c r="B23" s="161"/>
      <c r="C23" s="162"/>
      <c r="D23" s="162"/>
      <c r="E23" s="162"/>
      <c r="F23" s="163"/>
      <c r="G23" s="5"/>
    </row>
    <row r="24" spans="1:7">
      <c r="A24" s="5"/>
      <c r="B24" s="6"/>
      <c r="C24" s="6"/>
      <c r="D24" s="6"/>
      <c r="E24" s="6"/>
      <c r="F24" s="6"/>
      <c r="G24" s="5"/>
    </row>
    <row r="25" spans="1:7">
      <c r="B25" s="7"/>
      <c r="C25" s="7"/>
      <c r="D25" s="7"/>
      <c r="E25" s="7"/>
      <c r="F25" s="7"/>
    </row>
    <row r="26" spans="1:7">
      <c r="B26" s="7"/>
      <c r="C26" s="7"/>
      <c r="D26" s="7"/>
      <c r="E26" s="7"/>
      <c r="F26" s="7"/>
    </row>
    <row r="27" spans="1:7">
      <c r="B27" s="8"/>
      <c r="C27" s="8"/>
      <c r="D27" s="8"/>
      <c r="E27" s="8"/>
      <c r="F27" s="8"/>
    </row>
    <row r="28" spans="1:7">
      <c r="B28" s="8"/>
      <c r="C28" s="8"/>
      <c r="D28" s="8"/>
      <c r="E28" s="8"/>
      <c r="F28" s="8"/>
    </row>
  </sheetData>
  <mergeCells count="2">
    <mergeCell ref="A1:G1"/>
    <mergeCell ref="B4:F2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Ernst &amp; Young</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Jaimin1 Shah</dc:creator>
  <cp:keywords/>
  <dc:description/>
  <cp:lastModifiedBy>Varun Ganjoo</cp:lastModifiedBy>
  <cp:revision/>
  <dcterms:created xsi:type="dcterms:W3CDTF">2016-01-04T06:43:37Z</dcterms:created>
  <dcterms:modified xsi:type="dcterms:W3CDTF">2026-04-17T06:59:48Z</dcterms:modified>
  <cp:category/>
  <cp:contentStatus/>
</cp:coreProperties>
</file>
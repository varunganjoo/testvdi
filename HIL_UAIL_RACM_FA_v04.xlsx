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240" yWindow="885" windowWidth="14805" windowHeight="7230"/>
  </bookViews>
  <sheets>
    <sheet name="Cover Page" sheetId="12" r:id="rId1"/>
    <sheet name="Index" sheetId="14" r:id="rId2"/>
    <sheet name="Coverage_Map" sheetId="11" r:id="rId3"/>
    <sheet name="RACM" sheetId="3" r:id="rId4"/>
    <sheet name="Internal Control Improvements" sheetId="7" r:id="rId5"/>
    <sheet name="Disclaimer" sheetId="8" r:id="rId6"/>
  </sheets>
  <definedNames>
    <definedName name="_xlnm._FilterDatabase" localSheetId="2" hidden="1">Coverage_Map!$A$5:$K$28</definedName>
    <definedName name="_xlnm._FilterDatabase" localSheetId="3" hidden="1">RACM!$A$6:$X$31</definedName>
    <definedName name="AS2DocOpenMode" hidden="1">"AS2DocumentEdit"</definedName>
  </definedNames>
  <calcPr calcId="152511"/>
</workbook>
</file>

<file path=xl/calcChain.xml><?xml version="1.0" encoding="utf-8"?>
<calcChain xmlns="http://schemas.openxmlformats.org/spreadsheetml/2006/main">
  <c r="C12" i="14" l="1"/>
  <c r="C14" i="14" s="1"/>
  <c r="C16" i="14" s="1"/>
</calcChain>
</file>

<file path=xl/sharedStrings.xml><?xml version="1.0" encoding="utf-8"?>
<sst xmlns="http://schemas.openxmlformats.org/spreadsheetml/2006/main" count="752" uniqueCount="252">
  <si>
    <t>Major Process</t>
  </si>
  <si>
    <t>Sub Process</t>
  </si>
  <si>
    <t>Risk Heat</t>
  </si>
  <si>
    <t>Control #</t>
  </si>
  <si>
    <t>Control Description</t>
  </si>
  <si>
    <t>Control Comments</t>
  </si>
  <si>
    <t xml:space="preserve"> Risk of material misstatement  (Yes, No, N/A)</t>
  </si>
  <si>
    <t>Existence/ Occurrence</t>
  </si>
  <si>
    <t xml:space="preserve">Completeness </t>
  </si>
  <si>
    <t>Valuation/ Allocation</t>
  </si>
  <si>
    <t xml:space="preserve">Rights/ Obligations </t>
  </si>
  <si>
    <t>Presentation/ Disclosure</t>
  </si>
  <si>
    <t>Control Evidence</t>
  </si>
  <si>
    <t>Frequency of Control</t>
  </si>
  <si>
    <t>Supporting IT Applications and/or System</t>
  </si>
  <si>
    <t>Design Gap Description</t>
  </si>
  <si>
    <t>Design Gap Ref #</t>
  </si>
  <si>
    <t>Fixed Assets</t>
  </si>
  <si>
    <t>Un-reconciled differences in the books of accounts not reflecting the actual position in the financials</t>
  </si>
  <si>
    <t>Yes</t>
  </si>
  <si>
    <t>Preventive</t>
  </si>
  <si>
    <t>Medium</t>
  </si>
  <si>
    <t>No</t>
  </si>
  <si>
    <t>Detective</t>
  </si>
  <si>
    <t>Monthly</t>
  </si>
  <si>
    <t>Location:</t>
  </si>
  <si>
    <t>Status:</t>
  </si>
  <si>
    <t>Risk Description</t>
  </si>
  <si>
    <t>Risk of Fraud  (Yes, No, N/A)</t>
  </si>
  <si>
    <t>Testing Results</t>
  </si>
  <si>
    <t>ASSERTIONS</t>
  </si>
  <si>
    <t>CONTROL DETAILS</t>
  </si>
  <si>
    <t>CONTROL DESIGN EFFECTIVENESS</t>
  </si>
  <si>
    <t>OE Testing Result</t>
  </si>
  <si>
    <t>X</t>
  </si>
  <si>
    <t>Event Driven</t>
  </si>
  <si>
    <t>Manual</t>
  </si>
  <si>
    <t>None</t>
  </si>
  <si>
    <t>Capitalization of Fixed Asset</t>
  </si>
  <si>
    <t>Control Exists.</t>
  </si>
  <si>
    <t>Financial Control</t>
  </si>
  <si>
    <t>Incorrect Classification of the Fixed Asset leading to Incorrect depreciation calculation.</t>
  </si>
  <si>
    <t>Interest Capitalization</t>
  </si>
  <si>
    <t>Sale Of fixed asset.</t>
  </si>
  <si>
    <t>Transfer Of Fixed Asset</t>
  </si>
  <si>
    <t>Physical Verification of Fixed Asset.</t>
  </si>
  <si>
    <t>High</t>
  </si>
  <si>
    <t>Annually</t>
  </si>
  <si>
    <t>Fixed Asset Register</t>
  </si>
  <si>
    <t>Depreciation rates are correctly incorporated in the fixed asset register.</t>
  </si>
  <si>
    <t>CWIP</t>
  </si>
  <si>
    <t xml:space="preserve">Capital Work in progress (CWIP) is  transferred to fixed assets when the asset is not put to use.
</t>
  </si>
  <si>
    <t>Impairment of Fixed Asset</t>
  </si>
  <si>
    <t>Classification done in the fixed asset register is not correct leading to incorrect depreciation calculation.</t>
  </si>
  <si>
    <t>Fixed asset register is not monitored on a periodical basis.</t>
  </si>
  <si>
    <t>Draft</t>
  </si>
  <si>
    <t>1. Copy of Commission certificate received.</t>
  </si>
  <si>
    <t>1. Copy of the JV passed for the capitalization</t>
  </si>
  <si>
    <t>1. Copy of the commissioning certificate.</t>
  </si>
  <si>
    <t>1. Copy of the Journal Voucher approved by the designated approver.</t>
  </si>
  <si>
    <t>1. Copy of the JV for the asset to written off.</t>
  </si>
  <si>
    <t>Low</t>
  </si>
  <si>
    <t xml:space="preserve">Medium </t>
  </si>
  <si>
    <t>Process Owner (include title)</t>
  </si>
  <si>
    <t>Control Method (Manual /  Automated / IT Dependent)</t>
  </si>
  <si>
    <t>Control Nature
(Preventive, Detective)</t>
  </si>
  <si>
    <t>Key Control? (Yes, No, N/A)</t>
  </si>
  <si>
    <t>Approved working for changes in FAR</t>
  </si>
  <si>
    <t>Deficient Control</t>
  </si>
  <si>
    <t>Cluster Name</t>
  </si>
  <si>
    <t>Sr. No.</t>
  </si>
  <si>
    <t>Mega Process</t>
  </si>
  <si>
    <t>Gap Ref No.</t>
  </si>
  <si>
    <t>Content of Deficiency</t>
  </si>
  <si>
    <t>Key Control / Key Gap</t>
  </si>
  <si>
    <t>Type of Gap</t>
  </si>
  <si>
    <t>Nature of Gap</t>
  </si>
  <si>
    <t>Issue Type</t>
  </si>
  <si>
    <t>FC/OC</t>
  </si>
  <si>
    <t>PG/PF/SOD</t>
  </si>
  <si>
    <t>Applicable</t>
  </si>
  <si>
    <t>Remediation Plan</t>
  </si>
  <si>
    <t>Process Owner</t>
  </si>
  <si>
    <t>Schedule Date of Completion</t>
  </si>
  <si>
    <t>Fixed Asset</t>
  </si>
  <si>
    <t>UAIL-FA.1</t>
  </si>
  <si>
    <t>Process GAP</t>
  </si>
  <si>
    <t>Disclaimer</t>
  </si>
  <si>
    <t>INDEX</t>
  </si>
  <si>
    <t>Sr.No.</t>
  </si>
  <si>
    <t>Particulars</t>
  </si>
  <si>
    <t>Risk Assessment and Control Matrix (RACM)</t>
  </si>
  <si>
    <t>RACM'!A1</t>
  </si>
  <si>
    <t>Coverage Map</t>
  </si>
  <si>
    <t>Coverage Map '!A1</t>
  </si>
  <si>
    <t>Disclaimer'!A1</t>
  </si>
  <si>
    <t>Process: Fixed Assets</t>
  </si>
  <si>
    <t>Quantitative Criteria</t>
  </si>
  <si>
    <t>INR Cr</t>
  </si>
  <si>
    <r>
      <t xml:space="preserve">Threshold %
</t>
    </r>
    <r>
      <rPr>
        <b/>
        <i/>
        <sz val="8"/>
        <rFont val="EYInterstate Light"/>
      </rPr>
      <t>(Input % Threshold)</t>
    </r>
  </si>
  <si>
    <t>Materiality Threshold</t>
  </si>
  <si>
    <t>Final Threshold (Min/ Max or Average of the 2)</t>
  </si>
  <si>
    <t>Criteria for Final Threshold -----&gt;</t>
  </si>
  <si>
    <t>Minimum</t>
  </si>
  <si>
    <t>Revenue</t>
  </si>
  <si>
    <t>Business Cylce</t>
  </si>
  <si>
    <t>GL Code</t>
  </si>
  <si>
    <t>Balance Sheet / Income Statement</t>
  </si>
  <si>
    <t>Consolidated</t>
  </si>
  <si>
    <t>Account Caption to be considered?
(Quantitative Factors)</t>
  </si>
  <si>
    <t>Size and Composition  (A)</t>
  </si>
  <si>
    <t>Subjectivity and Estimation (B)</t>
  </si>
  <si>
    <t>Susceptability to Loss / Misstatement Due to Error or Fraud (C)</t>
  </si>
  <si>
    <t>Complexity of Transactions (D)</t>
  </si>
  <si>
    <t>Conclusion</t>
  </si>
  <si>
    <t>N</t>
  </si>
  <si>
    <t>Y</t>
  </si>
  <si>
    <t>Suvashish Mishra / Basudeb Khuntia</t>
  </si>
  <si>
    <t>The DGM F&amp;A reviews the FAR on monthly basis. The approved working/computation is maintained on the basis of which changes are made in the fixed asset register</t>
  </si>
  <si>
    <t xml:space="preserve">Capital Work in progress (CWIP) is not transferred to fixed assets when the asset is placed into put to use.
</t>
  </si>
  <si>
    <t>1. Copy of the approved mail correspondence for the impairment testing done.
2. Report of Asset valuation
3. Approval of final asset impairment</t>
  </si>
  <si>
    <t>Bijoy Singh / Basudeb Khuntia</t>
  </si>
  <si>
    <t>Other expenses capitalized</t>
  </si>
  <si>
    <t>Risk and Control Matrix - Fixed Assets</t>
  </si>
  <si>
    <t xml:space="preserve">A detailed budgeting is done for the fixed assets to be purchased. The cost code that is allocated to the fixed asset purchased or being built contains the job code which mentions the type and nature of work done. The asset is classified at the time of the budgeting itself.
Commissioning certificate mentions the category of the asset. The asset is classified in the commissioning certificate.
The accounts clerk prepares the JV for the capitalization based on the commissioning certificate which is reviewed and approved  along with supporting by the authorised approvers. </t>
  </si>
  <si>
    <t>UAIL</t>
  </si>
  <si>
    <t>Depreciation</t>
  </si>
  <si>
    <t>Absence of review mechanism to ensure that the depreciation rates updated / modified in the fixed asset register is correct and accurate for each individual asset and as per the Schedule II.</t>
  </si>
  <si>
    <t xml:space="preserve">Henceforth, after making any addition in the fixed asset register, useful life/ rate of depreciation will be reviewed and approved by the DGM-Accounts before accounting of the same, so that the review mechanism will exist.
</t>
  </si>
  <si>
    <t>31st December 2015</t>
  </si>
  <si>
    <t>FA#1</t>
  </si>
  <si>
    <t>Odisha</t>
  </si>
  <si>
    <t xml:space="preserve">As it is practically not possible to study all aspects of a process in its entirety thoroughly during the limited time period of an IFC review, based on our methodology for conducting IFC review, we conducted a review of the process &amp; held discussions with the process owners &amp; other key people in the process during the planning stage of IFC review which helped us in identifying specific areas where control weaknesses &amp; process gaps may exist, opportunities for process improvement &amp; / or cost reduction / revenue enhancement. 
Our subsequent test work, study of issues in detail &amp; developing action plans are directed towards the issues identified. Consequently this report may not necessarily comment on all the function / process related matters perceived as important by the management. 
The issues identified &amp; proposed action plans in this report are based on our discussions with the people engaged in the process, review of relevant documents/records &amp; our physical observation of the activities in the process. We made specific efforts to verify the accuracy &amp; authenticity of the information gathered only in those cases where it was felt necessary. The work carried out &amp; the analysis thereof is based on the interviews with the personnel &amp; the records provided by them. The identification of the issues in the report is mainly based on the review of records, sample verification of documents / transactions &amp; physical observation of the events. As the basis of sample selection is purely judgmental in view of the time available, the outcome of the analysis may not be exhaustive &amp; representing all possibilities, though we have taken reasonable care to cover the major eventualities.
This report is meant for UAIL’s management only &amp; should not be quoted or referred to without our prior written consent
</t>
  </si>
  <si>
    <t>Defciency Tracker - Fixed Assets</t>
  </si>
  <si>
    <t>PBT (Loss)</t>
  </si>
  <si>
    <t>Amount in Cr</t>
  </si>
  <si>
    <t>Pre Operative Expenses Capitalization</t>
  </si>
  <si>
    <t>Depreciation  - Plant, Machinery &amp; Equipment</t>
  </si>
  <si>
    <t>Depreciation  - Buildings(Factory)</t>
  </si>
  <si>
    <t>Opening Gross Value - Mining Rights</t>
  </si>
  <si>
    <t>Opening Gross Value - Buildings</t>
  </si>
  <si>
    <t>Opening Gross Value - Plant and Machinery</t>
  </si>
  <si>
    <t>Opening Gross Value - Railway Sidings</t>
  </si>
  <si>
    <t>Opening Gross Value - Road &amp; Drainage</t>
  </si>
  <si>
    <t>Opening Gross Value - Leasehold Land</t>
  </si>
  <si>
    <t>Opening Gross Value - Buildings(Factory)</t>
  </si>
  <si>
    <t>Opening Gross Value     Leasehold Land Improvemen</t>
  </si>
  <si>
    <t>Addition Gross Value - Building</t>
  </si>
  <si>
    <t>Addition Gross Value - Plant &amp; Machinery</t>
  </si>
  <si>
    <t>Profit/(Loss) on Sale of Fixed Assets</t>
  </si>
  <si>
    <t>Addition Gross Value - Buildings(Factory)</t>
  </si>
  <si>
    <t>Opening Depreciation Reserve - Plant &amp; Machinery</t>
  </si>
  <si>
    <t>Addition Depreciation Reserve - Plant &amp; Machinery</t>
  </si>
  <si>
    <t>Addition Depreciation Reserve - Buildings(Factory</t>
  </si>
  <si>
    <t>CWIP - Addition during the year</t>
  </si>
  <si>
    <t>Project Inventory</t>
  </si>
  <si>
    <t>Amortisation-- Mining Lease</t>
  </si>
  <si>
    <t>Opening Pre-Operative Expenses Indirect Expenditu</t>
  </si>
  <si>
    <t>Asset which are not ready for use, have been capitalized in the books of accounts</t>
  </si>
  <si>
    <t>Incorrect Capitalization of interest</t>
  </si>
  <si>
    <t>1. Copy of interest rates provided by GM F&amp;A.</t>
  </si>
  <si>
    <t>1. Copy of detailed budget to check the list of assets</t>
  </si>
  <si>
    <t xml:space="preserve">Every month a review meeting is conducted by CFO to monitor/review the status of capital asset work in progress and the projects which need to be executed in future. </t>
  </si>
  <si>
    <t>Capital work in progress is capitalized by the accounts clerk only when he/she receives the approved commissioning certificate from the head of the user department.
The JV is reviewed and signed by CFO along with the supporting document (Project Completion Certificate) before posting in the ledger.</t>
  </si>
  <si>
    <t>1. Mail correspondence by Chief operating officer mentioning the agenda for the meeting which include the CWIP monitoring.
2. Minutes of the meeting.</t>
  </si>
  <si>
    <t>Depreciation rates are not correctly incorporated in the fixed asset register</t>
  </si>
  <si>
    <t>GAP in Design
Monthly reconciliation statement.
Fixed Assets Register</t>
  </si>
  <si>
    <t>Additions and Deletions in fixed assets are not timely and accurately updated in Fixed Asset Register</t>
  </si>
  <si>
    <t>Impairment testing is not carried out for all existing intangible/tangible assets or additions made during the period</t>
  </si>
  <si>
    <t>Incorrect capitalization of other expenses</t>
  </si>
  <si>
    <t>1. Copy of the consumption report send from the project office to accounts department.</t>
  </si>
  <si>
    <t xml:space="preserve">A monthly reconciliation is prepared which reconciles the balance as per the Fixed asset register and the balance as per the General Ledger. The reconciliation is reviewed by the Accounts head.
Any unreconciled differences in the reconciliation statement are adjusted in the books of accounts after obtaining appropriate approval as per DOA  on annual basis. </t>
  </si>
  <si>
    <t>Unauthorized sale of fixed asset</t>
  </si>
  <si>
    <t>1. Copy of the approved retirement request form  for the fixed asset.</t>
  </si>
  <si>
    <t>Incorrect and unauthorized accounting for sale/disposal of fixed assets in books of accounts</t>
  </si>
  <si>
    <t xml:space="preserve">Assets not recorded in the fixed assets register (FAR) but they physically exist and vice versa, not reflecting correct position of financial statements.
</t>
  </si>
  <si>
    <t>User department prepares the asset capitalization certificate for the assets which are ready to use and the same is reviewed and signed off by the department head. Department ensures that all the costs/expenses have been booked. 
On receipt of capitalization certificate from user department, Accounts department capitalizes the asset in the books of accounts.</t>
  </si>
  <si>
    <t>The amount at which the asset is capitalized is not capturing all direct and indirect costs related to the asset</t>
  </si>
  <si>
    <t>Accounting entry for capitalisation of fixed asset is reviewed by the accounts manager. 
A monthly reconciliation statement prepared by accounts clerk is reviewed by the CFO to check the classification of goods.</t>
  </si>
  <si>
    <r>
      <t xml:space="preserve">Every month project division sends the consumption report to accounts department of the other expenses like fuel etc. which need to be capitalised on ongoing projects. The amount to be allocated project cost code wise and JV is passed accordingly in the books of accounts. 
Accounts department obtains the consumption report every month and analysis is done for the stores items that is capitalized is correctly been done.
</t>
    </r>
    <r>
      <rPr>
        <b/>
        <sz val="10"/>
        <color theme="1"/>
        <rFont val="EYInterstate"/>
      </rPr>
      <t/>
    </r>
  </si>
  <si>
    <t>Monthly reconciliation statement.
Fixed Assets Register</t>
  </si>
  <si>
    <t>Depreciation rates incorporated in the FAR
Accounting entries passed at the end of the year</t>
  </si>
  <si>
    <t>IT Dependent</t>
  </si>
  <si>
    <t>Purchasing and Commissioning</t>
  </si>
  <si>
    <t>1. Screen shot of the PO approved in the system s per the DOA.</t>
  </si>
  <si>
    <t>1. Screen shot of the PO approved in the system per the DOA.</t>
  </si>
  <si>
    <t>All the purchases for the Greenfield and Brownfield projects is monitored by the CPPC. All the CPAN which qualifies the approval of the CPPC is approved as per the DOA.</t>
  </si>
  <si>
    <t>1) Screen shot of the CPAN approved.</t>
  </si>
  <si>
    <t>GRN preparation</t>
  </si>
  <si>
    <t>Asset received may not be accurately and completely captured in the system</t>
  </si>
  <si>
    <t>Store keeper receives fixed assets and make a Goods Inward Note in the system (GRN) based challan submitted by the vendor. Fixed assets are accounted as Capital Inventory in the system.</t>
  </si>
  <si>
    <t>x</t>
  </si>
  <si>
    <t>GRN Copy</t>
  </si>
  <si>
    <t>NA</t>
  </si>
  <si>
    <t>Service Entry Creation</t>
  </si>
  <si>
    <t>User department generates work completion certificate from the oracle system, post service completion. Hard copy of work completion certificated is approved by HOD-user department.</t>
  </si>
  <si>
    <t>Work completion certificate</t>
  </si>
  <si>
    <t>User Department</t>
  </si>
  <si>
    <t xml:space="preserve">Accounts clerk prepares a monthly reconciliation statement, reconciling the value of the fixed asset as per the fixed asset register and the value as per the general ledger.
A reconciliation statement is reviewed by the CFO to identify any assets disposed off/ not accounted for.
</t>
  </si>
  <si>
    <t>The GM F&amp;A reviews the FAR on monthly basis. The approved working/computation is maintained on the basis of which changes are made in the fixed asset register</t>
  </si>
  <si>
    <t>Amortization of Intangible asset.</t>
  </si>
  <si>
    <t>Undervaluation/ Overvaluation of assets in the system</t>
  </si>
  <si>
    <t>Sale of fixed asset.</t>
  </si>
  <si>
    <t>Unauthorized sale of fixed asset.</t>
  </si>
  <si>
    <t>UAIL.FA.1</t>
  </si>
  <si>
    <t>UAIL.FA.2</t>
  </si>
  <si>
    <t>UAIL.FA.3</t>
  </si>
  <si>
    <t>UAIL.FA.4</t>
  </si>
  <si>
    <t>UAIL.FA.5</t>
  </si>
  <si>
    <t>UAIL.FA.6</t>
  </si>
  <si>
    <t>UAIL.FA.7</t>
  </si>
  <si>
    <t>UAIL.FA.8</t>
  </si>
  <si>
    <t>UAIL.FA.9</t>
  </si>
  <si>
    <t>UAIL.FA.10</t>
  </si>
  <si>
    <t>UAIL.FA.11</t>
  </si>
  <si>
    <t>UAIL.FA.12</t>
  </si>
  <si>
    <t>UAIL.FA.13</t>
  </si>
  <si>
    <t>UAIL.FA.14</t>
  </si>
  <si>
    <t>UAIL.FA.15</t>
  </si>
  <si>
    <t>UAIL.FA.17</t>
  </si>
  <si>
    <t>UAIL.FA.18</t>
  </si>
  <si>
    <t>UAIL.FA.19</t>
  </si>
  <si>
    <t>UAIL.FA.20</t>
  </si>
  <si>
    <t>UAIL.FA.21</t>
  </si>
  <si>
    <t>UAIL.FA.22</t>
  </si>
  <si>
    <t>UAIL.FA.23</t>
  </si>
  <si>
    <t>UAIL.FA.24</t>
  </si>
  <si>
    <t>UAIL.FA.25</t>
  </si>
  <si>
    <t>MA Rao</t>
  </si>
  <si>
    <t>Approval of CPAN for the purchase of the fixed asset is created by the purchase officer and is approved as per the DOA.</t>
  </si>
  <si>
    <t>The DOA for approval is defined in the Oracle System. All PO's are approved based on the defined approval limits.</t>
  </si>
  <si>
    <t>Valuation of the gross block of the Plant as a single block is conducted annually with independent team and impairment if any is conducted. Till date no impairment has been conducted.</t>
  </si>
  <si>
    <t>Internal Control Improvements</t>
  </si>
  <si>
    <t>Internal Control Improvements '!A1</t>
  </si>
  <si>
    <t>Interest capitalization rate is provided by the GM F&amp;A for calculating the Interest cost. The accounts supervisor calculates the interest cost and prepares a JV for the same. The approver of the JV reviews the working of the interest cost calculation and approves the same. Accordingly interest amount is added with the value of assets which is to be capitalized.</t>
  </si>
  <si>
    <t>Accounts executive prepares the JV and take a hard copy print out of the JV to be passed and the same is submitted to the designated approver along with the Commissioning certificate for the approval.
GM Accounts &amp; Finance reviews the hard copy of the JV along with the commissioning certificate and signs the JV for posting in the system.</t>
  </si>
  <si>
    <t>Monthly depreciation is calculated by the Accounts Clerk.
Accounts clerk on the basis of depreciation calculation prepares a JV for the month and the same is reviewed and posted by the GM Finance &amp; Accounts into general ledger.</t>
  </si>
  <si>
    <t>Accounts clerk prepares the JV (for profit &amp; loss and disposal of assets) and the same is approved and reviewed by the designated approver as per DoA before the JV is posted into the general ledger after reviewing the documents as submitted by the user department.</t>
  </si>
  <si>
    <t xml:space="preserve">A log is maintained in FAR of all the assets added/removed in a quarter. Physical verification of additions/deletions of fixed assets is carried out on an quarterly and annual basis by a independent agency. </t>
  </si>
  <si>
    <t>Unauthorised purchase of fixed assets</t>
  </si>
  <si>
    <t>Unauthorised SES created in the system against fixed assets</t>
  </si>
  <si>
    <t>A retirement request form is prepared for the disposal/sale of the asset and it is approved as per the defined DOA. On receipt of approved asset retirement form, accounts clerk prepares and post the JV for adjustments in fixed assets accounts after the approval of DGM F&amp;A as per defined DOA.</t>
  </si>
  <si>
    <t>On receipt of approved asset retirement form, accounts clerk post the adjustment entry in fixed assets accounts at the end of every month after the approval of DGM F&amp;A as per defined DOA.</t>
  </si>
  <si>
    <t>Incorrect/delay in updating to the FAR</t>
  </si>
  <si>
    <t>Physical verification report of independent person</t>
  </si>
  <si>
    <t xml:space="preserve">Asset life is considered as per the Schedule II of the Companies Act 2013. The depreciation rates are manually incorporated in the fixed asset register by the accounts clerk and reviewed by the GM F&amp;A. </t>
  </si>
  <si>
    <t>Updated: 5th February, 2016</t>
  </si>
  <si>
    <t>Incorrect amortization of pre-operative expenses</t>
  </si>
  <si>
    <t>UAIL.FA.26</t>
  </si>
  <si>
    <t>1. JV Entry</t>
  </si>
  <si>
    <t>Accounts clerk prepares the JV for capitalisation of per-operative expenses or Lease amortisation and the same is approved and reviewed by the designated approver before the JV is posted into the general ledger after reviewing the documents.</t>
  </si>
  <si>
    <t>Deficient Control / IT Enanch</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</si>
</sst>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 #,##0.00_ ;_ * \-#,##0.00_ ;_ * &quot;-&quot;??_ ;_ @_ "/>
    <numFmt numFmtId="164" formatCode="0.000000"/>
    <numFmt numFmtId="165" formatCode="&quot;(&quot;0%&quot;)   &quot;;[Red]\-&quot;(&quot;0%&quot;)   &quot;;&quot;－    &quot;"/>
    <numFmt numFmtId="166" formatCode="&quot;(&quot;0.00%&quot;)   &quot;;[Red]\-&quot;(&quot;0.00%&quot;)   &quot;;&quot;－    &quot;"/>
    <numFmt numFmtId="167" formatCode="0.00%;[Red]\-0.00%;&quot;－&quot;"/>
    <numFmt numFmtId="168" formatCode="_(* #,##0_);_(* \(#,##0\);_(* &quot;-&quot;??_);_(@_)"/>
    <numFmt numFmtId="169" formatCode="0.0000%"/>
  </numFmts>
  <fonts count="28">
    <font>
      <sz val="11"/>
      <color theme="1"/>
      <name val="Calibri"/>
      <family val="2"/>
      <scheme val="minor"/>
    </font>
    <font>
      <sz val="11"/>
      <name val="ＭＳ Ｐゴシック"/>
      <family val="3"/>
      <charset val="128"/>
    </font>
    <font>
      <sz val="10"/>
      <name val="Arial"/>
      <family val="2"/>
    </font>
    <font>
      <b/>
      <sz val="9"/>
      <color theme="1"/>
      <name val="Arial"/>
      <family val="2"/>
    </font>
    <font>
      <sz val="9"/>
      <color theme="1"/>
      <name val="Arial"/>
      <family val="2"/>
    </font>
    <font>
      <b/>
      <sz val="9"/>
      <name val="Arial"/>
      <family val="2"/>
    </font>
    <font>
      <sz val="9"/>
      <name val="Arial"/>
      <family val="2"/>
    </font>
    <font>
      <sz val="10"/>
      <color theme="1"/>
      <name val="Arial"/>
      <family val="2"/>
    </font>
    <font>
      <b/>
      <sz val="8"/>
      <color theme="1"/>
      <name val="EYInterstate"/>
    </font>
    <font>
      <sz val="8"/>
      <color theme="1"/>
      <name val="EYInterstate"/>
    </font>
    <font>
      <b/>
      <sz val="8"/>
      <color rgb="FF515151"/>
      <name val="EYInterstate"/>
    </font>
    <font>
      <sz val="11"/>
      <color theme="1"/>
      <name val="Calibri"/>
      <family val="2"/>
      <scheme val="minor"/>
    </font>
    <font>
      <sz val="11"/>
      <name val="ＭＳ ゴシック"/>
      <family val="3"/>
      <charset val="128"/>
    </font>
    <font>
      <sz val="11"/>
      <name val="ＭＳ 明朝"/>
      <family val="1"/>
      <charset val="128"/>
    </font>
    <font>
      <b/>
      <sz val="14"/>
      <name val="ＭＳ Ｐゴシック"/>
      <family val="3"/>
      <charset val="128"/>
    </font>
    <font>
      <b/>
      <sz val="14"/>
      <color theme="1"/>
      <name val="Arial"/>
      <family val="2"/>
    </font>
    <font>
      <sz val="12"/>
      <color theme="1"/>
      <name val="Arial"/>
      <family val="2"/>
    </font>
    <font>
      <b/>
      <sz val="12"/>
      <color theme="1"/>
      <name val="Arial"/>
      <family val="2"/>
    </font>
    <font>
      <b/>
      <sz val="12"/>
      <color theme="0"/>
      <name val="Arial"/>
      <family val="2"/>
    </font>
    <font>
      <u/>
      <sz val="10"/>
      <color theme="10"/>
      <name val="Arial"/>
      <family val="2"/>
    </font>
    <font>
      <u/>
      <sz val="12"/>
      <color theme="10"/>
      <name val="Arial"/>
      <family val="2"/>
    </font>
    <font>
      <u/>
      <sz val="11"/>
      <color theme="10"/>
      <name val="Calibri"/>
      <family val="2"/>
      <scheme val="minor"/>
    </font>
    <font>
      <sz val="9"/>
      <name val="EYInterstate Light"/>
    </font>
    <font>
      <b/>
      <sz val="8"/>
      <name val="EYInterstate Light"/>
    </font>
    <font>
      <b/>
      <i/>
      <sz val="8"/>
      <name val="EYInterstate Light"/>
    </font>
    <font>
      <sz val="8"/>
      <name val="EYInterstate Light"/>
    </font>
    <font>
      <b/>
      <sz val="10"/>
      <color theme="1"/>
      <name val="EYInterstate"/>
    </font>
    <font>
      <sz val="11"/>
      <name val="Calibri"/>
      <family val="2"/>
      <scheme val="minor"/>
    </font>
  </fonts>
  <fills count="15">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0" tint="-0.249977111117893"/>
        <bgColor indexed="64"/>
      </patternFill>
    </fill>
    <fill>
      <patternFill patternType="solid">
        <fgColor theme="2"/>
        <bgColor indexed="64"/>
      </patternFill>
    </fill>
    <fill>
      <patternFill patternType="solid">
        <fgColor rgb="FFFFFFCC"/>
      </patternFill>
    </fill>
    <fill>
      <patternFill patternType="solid">
        <fgColor theme="0" tint="-0.34998626667073579"/>
        <bgColor indexed="64"/>
      </patternFill>
    </fill>
    <fill>
      <patternFill patternType="solid">
        <fgColor theme="0" tint="-0.14999847407452621"/>
        <bgColor indexed="64"/>
      </patternFill>
    </fill>
    <fill>
      <patternFill patternType="solid">
        <fgColor theme="1" tint="0.249977111117893"/>
        <bgColor indexed="64"/>
      </patternFill>
    </fill>
    <fill>
      <patternFill patternType="solid">
        <fgColor theme="0" tint="-4.9989318521683403E-2"/>
        <bgColor indexed="64"/>
      </patternFill>
    </fill>
    <fill>
      <patternFill patternType="solid">
        <fgColor rgb="FF00B0F0"/>
        <bgColor indexed="64"/>
      </patternFill>
    </fill>
    <fill>
      <patternFill patternType="solid">
        <fgColor rgb="FF92D05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4">
    <xf numFmtId="0" fontId="0" fillId="0" borderId="0"/>
    <xf numFmtId="0" fontId="1" fillId="0" borderId="0"/>
    <xf numFmtId="0" fontId="2" fillId="0" borderId="0"/>
    <xf numFmtId="0" fontId="7" fillId="0" borderId="0"/>
    <xf numFmtId="0" fontId="2" fillId="0" borderId="0" applyBorder="0"/>
    <xf numFmtId="0" fontId="7" fillId="0" borderId="0"/>
    <xf numFmtId="164" fontId="2" fillId="0" borderId="0">
      <alignment horizontal="left" wrapText="1"/>
    </xf>
    <xf numFmtId="43" fontId="7" fillId="0" borderId="0" applyFont="0" applyFill="0" applyBorder="0" applyAlignment="0" applyProtection="0"/>
    <xf numFmtId="164" fontId="2" fillId="0" borderId="0">
      <alignment horizontal="left" wrapText="1"/>
    </xf>
    <xf numFmtId="0" fontId="11" fillId="0" borderId="0"/>
    <xf numFmtId="0" fontId="11" fillId="0" borderId="0"/>
    <xf numFmtId="0" fontId="11" fillId="0" borderId="0"/>
    <xf numFmtId="0" fontId="7" fillId="0" borderId="0"/>
    <xf numFmtId="0" fontId="11" fillId="0" borderId="0"/>
    <xf numFmtId="164" fontId="2" fillId="0" borderId="0">
      <alignment horizontal="left" wrapText="1"/>
    </xf>
    <xf numFmtId="0" fontId="7" fillId="0" borderId="0"/>
    <xf numFmtId="0" fontId="11" fillId="8" borderId="5" applyNumberFormat="0" applyFont="0" applyAlignment="0" applyProtection="0"/>
    <xf numFmtId="9" fontId="7" fillId="0" borderId="0" applyFont="0" applyFill="0" applyBorder="0" applyAlignment="0" applyProtection="0"/>
    <xf numFmtId="164" fontId="2" fillId="0" borderId="0">
      <alignment horizontal="left" wrapText="1"/>
    </xf>
    <xf numFmtId="165" fontId="12" fillId="0" borderId="0" applyFont="0" applyFill="0" applyBorder="0" applyAlignment="0" applyProtection="0"/>
    <xf numFmtId="166" fontId="12" fillId="0" borderId="0" applyFont="0" applyFill="0" applyBorder="0" applyAlignment="0" applyProtection="0">
      <alignment vertical="top"/>
    </xf>
    <xf numFmtId="167" fontId="12" fillId="0" borderId="0" applyFont="0" applyFill="0" applyBorder="0" applyAlignment="0" applyProtection="0"/>
    <xf numFmtId="0" fontId="13" fillId="0" borderId="0" applyNumberFormat="0" applyFont="0" applyFill="0" applyBorder="0">
      <alignment horizontal="left" vertical="top" wrapText="1"/>
    </xf>
    <xf numFmtId="0" fontId="1" fillId="0" borderId="0">
      <alignment vertical="center"/>
    </xf>
    <xf numFmtId="0" fontId="14" fillId="0" borderId="0" applyFill="0" applyBorder="0" applyProtection="0"/>
    <xf numFmtId="0" fontId="19" fillId="0" borderId="0" applyNumberForma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21" fillId="0" borderId="0" applyNumberFormat="0" applyFill="0" applyBorder="0" applyAlignment="0" applyProtection="0"/>
    <xf numFmtId="0" fontId="2"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7" fillId="0" borderId="0"/>
    <xf numFmtId="0" fontId="11" fillId="0" borderId="0"/>
    <xf numFmtId="0" fontId="11" fillId="8" borderId="5" applyNumberFormat="0" applyFont="0" applyAlignment="0" applyProtection="0"/>
    <xf numFmtId="9" fontId="11" fillId="0" borderId="0" applyFont="0" applyFill="0" applyBorder="0" applyAlignment="0" applyProtection="0"/>
    <xf numFmtId="9" fontId="11" fillId="0" borderId="0" applyFont="0" applyFill="0" applyBorder="0" applyAlignment="0" applyProtection="0"/>
    <xf numFmtId="43" fontId="11" fillId="0" borderId="0" applyFont="0" applyFill="0" applyBorder="0" applyAlignment="0" applyProtection="0"/>
    <xf numFmtId="9" fontId="11" fillId="0" borderId="0" applyFont="0" applyFill="0" applyBorder="0" applyAlignment="0" applyProtection="0"/>
  </cellStyleXfs>
  <cellXfs count="177">
    <xf numFmtId="0" fontId="0" fillId="0" borderId="0" xfId="0"/>
    <xf numFmtId="0" fontId="4" fillId="0" borderId="0" xfId="0" applyFont="1"/>
    <xf numFmtId="0" fontId="4" fillId="0" borderId="0" xfId="0" applyFont="1" applyAlignment="1">
      <alignment wrapText="1"/>
    </xf>
    <xf numFmtId="0" fontId="3" fillId="0" borderId="0" xfId="0" applyFont="1" applyAlignment="1">
      <alignment horizontal="center" vertical="top"/>
    </xf>
    <xf numFmtId="0" fontId="4" fillId="0" borderId="0" xfId="0" applyFont="1" applyAlignment="1">
      <alignment vertical="top"/>
    </xf>
    <xf numFmtId="0" fontId="4" fillId="0" borderId="0" xfId="0" applyFont="1" applyAlignment="1">
      <alignment horizontal="left" vertical="top"/>
    </xf>
    <xf numFmtId="0" fontId="4" fillId="0" borderId="0" xfId="0" applyFont="1" applyAlignment="1">
      <alignment horizontal="center" vertical="top"/>
    </xf>
    <xf numFmtId="0" fontId="10" fillId="0" borderId="1" xfId="0" applyFont="1" applyBorder="1" applyAlignment="1">
      <alignment vertical="center"/>
    </xf>
    <xf numFmtId="0" fontId="9" fillId="0" borderId="1" xfId="0" applyFont="1" applyBorder="1" applyAlignment="1">
      <alignment vertical="center" wrapText="1"/>
    </xf>
    <xf numFmtId="0" fontId="10" fillId="0" borderId="0" xfId="0" applyFont="1" applyBorder="1" applyAlignment="1">
      <alignment vertical="center"/>
    </xf>
    <xf numFmtId="0" fontId="10" fillId="0" borderId="3" xfId="0" applyFont="1" applyBorder="1" applyAlignment="1">
      <alignment vertical="center"/>
    </xf>
    <xf numFmtId="0" fontId="9" fillId="0" borderId="3" xfId="0" applyFont="1" applyBorder="1" applyAlignment="1">
      <alignment vertical="center"/>
    </xf>
    <xf numFmtId="0" fontId="4" fillId="0" borderId="0" xfId="0" applyFont="1" applyAlignment="1">
      <alignment vertical="top" wrapText="1"/>
    </xf>
    <xf numFmtId="0" fontId="4" fillId="10" borderId="0" xfId="0" applyFont="1" applyFill="1"/>
    <xf numFmtId="0" fontId="3" fillId="10" borderId="0" xfId="0" applyFont="1" applyFill="1" applyAlignment="1">
      <alignment horizontal="left"/>
    </xf>
    <xf numFmtId="0" fontId="4" fillId="11" borderId="0" xfId="0" applyFont="1" applyFill="1"/>
    <xf numFmtId="0" fontId="4" fillId="11" borderId="0" xfId="0" applyFont="1" applyFill="1" applyAlignment="1">
      <alignment vertical="top" wrapText="1"/>
    </xf>
    <xf numFmtId="0" fontId="4" fillId="10" borderId="0" xfId="0" applyFont="1" applyFill="1" applyAlignment="1">
      <alignment vertical="top" wrapText="1"/>
    </xf>
    <xf numFmtId="0" fontId="4" fillId="10" borderId="0" xfId="0" applyFont="1" applyFill="1" applyAlignment="1">
      <alignment vertical="top"/>
    </xf>
    <xf numFmtId="0" fontId="22" fillId="0" borderId="0" xfId="0" applyFont="1" applyFill="1" applyBorder="1"/>
    <xf numFmtId="0" fontId="23" fillId="6" borderId="1" xfId="0" applyFont="1" applyFill="1" applyBorder="1" applyAlignment="1">
      <alignment horizontal="center"/>
    </xf>
    <xf numFmtId="168" fontId="23" fillId="6" borderId="1" xfId="0" quotePrefix="1" applyNumberFormat="1" applyFont="1" applyFill="1" applyBorder="1" applyAlignment="1">
      <alignment horizontal="center"/>
    </xf>
    <xf numFmtId="168" fontId="23" fillId="6" borderId="1" xfId="0" quotePrefix="1" applyNumberFormat="1" applyFont="1" applyFill="1" applyBorder="1" applyAlignment="1">
      <alignment horizontal="center" wrapText="1"/>
    </xf>
    <xf numFmtId="9" fontId="23" fillId="6" borderId="1" xfId="43" quotePrefix="1" applyFont="1" applyFill="1" applyBorder="1" applyAlignment="1">
      <alignment horizontal="center" wrapText="1"/>
    </xf>
    <xf numFmtId="168" fontId="23" fillId="6" borderId="1" xfId="0" applyNumberFormat="1" applyFont="1" applyFill="1" applyBorder="1" applyAlignment="1">
      <alignment horizontal="center" wrapText="1"/>
    </xf>
    <xf numFmtId="168" fontId="22" fillId="0" borderId="0" xfId="0" applyNumberFormat="1" applyFont="1" applyFill="1" applyBorder="1" applyAlignment="1">
      <alignment wrapText="1"/>
    </xf>
    <xf numFmtId="168" fontId="22" fillId="4" borderId="2" xfId="0" applyNumberFormat="1" applyFont="1" applyFill="1" applyBorder="1"/>
    <xf numFmtId="168" fontId="22" fillId="0" borderId="0" xfId="0" applyNumberFormat="1" applyFont="1" applyFill="1" applyBorder="1" applyAlignment="1">
      <alignment horizontal="center"/>
    </xf>
    <xf numFmtId="168" fontId="22" fillId="0" borderId="0" xfId="42" applyNumberFormat="1" applyFont="1" applyFill="1" applyBorder="1"/>
    <xf numFmtId="169" fontId="22" fillId="0" borderId="0" xfId="43" applyNumberFormat="1" applyFont="1" applyBorder="1"/>
    <xf numFmtId="0" fontId="22" fillId="0" borderId="0" xfId="0" applyFont="1" applyBorder="1"/>
    <xf numFmtId="0" fontId="22" fillId="0" borderId="0" xfId="0" applyFont="1" applyFill="1" applyBorder="1" applyAlignment="1">
      <alignment vertical="center"/>
    </xf>
    <xf numFmtId="0" fontId="25" fillId="12" borderId="1" xfId="0" applyFont="1" applyFill="1" applyBorder="1" applyAlignment="1">
      <alignment vertical="center"/>
    </xf>
    <xf numFmtId="168" fontId="23" fillId="0" borderId="1" xfId="0" applyNumberFormat="1" applyFont="1" applyFill="1" applyBorder="1" applyAlignment="1">
      <alignment vertical="center" wrapText="1"/>
    </xf>
    <xf numFmtId="10" fontId="23" fillId="4" borderId="1" xfId="43" applyNumberFormat="1" applyFont="1" applyFill="1" applyBorder="1" applyAlignment="1">
      <alignment horizontal="center" vertical="center" wrapText="1"/>
    </xf>
    <xf numFmtId="168" fontId="25" fillId="0" borderId="1" xfId="42" applyNumberFormat="1" applyFont="1" applyFill="1" applyBorder="1" applyAlignment="1">
      <alignment horizontal="center" vertical="center" wrapText="1"/>
    </xf>
    <xf numFmtId="168" fontId="23" fillId="0" borderId="0" xfId="0" applyNumberFormat="1" applyFont="1" applyFill="1" applyBorder="1" applyAlignment="1">
      <alignment horizontal="center" vertical="center"/>
    </xf>
    <xf numFmtId="0" fontId="22" fillId="0" borderId="0" xfId="0" applyFont="1" applyBorder="1" applyAlignment="1">
      <alignment vertical="center"/>
    </xf>
    <xf numFmtId="168" fontId="22" fillId="0" borderId="0" xfId="0" applyNumberFormat="1" applyFont="1" applyFill="1" applyBorder="1" applyAlignment="1">
      <alignment vertical="center"/>
    </xf>
    <xf numFmtId="168" fontId="22" fillId="0" borderId="0" xfId="42" applyNumberFormat="1" applyFont="1" applyFill="1" applyBorder="1" applyAlignment="1">
      <alignment vertical="center"/>
    </xf>
    <xf numFmtId="43" fontId="22" fillId="0" borderId="0" xfId="42" applyFont="1" applyBorder="1" applyAlignment="1">
      <alignment vertical="center"/>
    </xf>
    <xf numFmtId="43" fontId="22" fillId="0" borderId="0" xfId="42" applyFont="1" applyBorder="1" applyAlignment="1">
      <alignment horizontal="right" wrapText="1"/>
    </xf>
    <xf numFmtId="0" fontId="22" fillId="0" borderId="0" xfId="0" applyFont="1" applyBorder="1" applyAlignment="1">
      <alignment horizontal="right" wrapText="1"/>
    </xf>
    <xf numFmtId="168" fontId="23" fillId="0" borderId="3" xfId="0" applyNumberFormat="1" applyFont="1" applyFill="1" applyBorder="1" applyAlignment="1">
      <alignment horizontal="center" vertical="center"/>
    </xf>
    <xf numFmtId="168" fontId="23" fillId="0" borderId="4" xfId="0" applyNumberFormat="1" applyFont="1" applyFill="1" applyBorder="1" applyAlignment="1">
      <alignment horizontal="center" vertical="center"/>
    </xf>
    <xf numFmtId="0" fontId="4" fillId="0" borderId="1" xfId="0" applyFont="1" applyBorder="1" applyAlignment="1">
      <alignment horizontal="center" vertical="center"/>
    </xf>
    <xf numFmtId="0" fontId="3" fillId="9" borderId="1" xfId="0" applyFont="1" applyFill="1" applyBorder="1" applyAlignment="1">
      <alignment horizontal="center" vertical="center" wrapText="1"/>
    </xf>
    <xf numFmtId="0" fontId="4" fillId="0" borderId="1" xfId="0" applyFont="1" applyBorder="1" applyAlignment="1">
      <alignment horizontal="center" vertical="center" wrapText="1"/>
    </xf>
    <xf numFmtId="164" fontId="6" fillId="0" borderId="1" xfId="6" applyFont="1" applyFill="1" applyBorder="1" applyAlignment="1">
      <alignment horizontal="center" vertical="center" wrapText="1"/>
    </xf>
    <xf numFmtId="0" fontId="6" fillId="0" borderId="1" xfId="6" applyNumberFormat="1" applyFont="1" applyBorder="1" applyAlignment="1">
      <alignment horizontal="left" vertical="center" wrapText="1"/>
    </xf>
    <xf numFmtId="0" fontId="6"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6" fillId="0" borderId="1" xfId="6" applyNumberFormat="1" applyFont="1" applyBorder="1" applyAlignment="1">
      <alignment horizontal="center" vertical="center" wrapText="1"/>
    </xf>
    <xf numFmtId="0" fontId="4" fillId="3" borderId="1" xfId="0" applyFont="1" applyFill="1" applyBorder="1" applyAlignment="1">
      <alignment horizontal="left" vertical="center" wrapText="1"/>
    </xf>
    <xf numFmtId="0" fontId="6" fillId="0" borderId="1" xfId="6" applyNumberFormat="1" applyFont="1" applyBorder="1" applyAlignment="1">
      <alignment horizontal="left" vertical="center"/>
    </xf>
    <xf numFmtId="0" fontId="6" fillId="3" borderId="1" xfId="0" applyFont="1" applyFill="1" applyBorder="1" applyAlignment="1">
      <alignment horizontal="left" vertical="center" wrapText="1"/>
    </xf>
    <xf numFmtId="0" fontId="4" fillId="0" borderId="1" xfId="0" applyFont="1" applyFill="1" applyBorder="1" applyAlignment="1">
      <alignment vertical="center" wrapText="1"/>
    </xf>
    <xf numFmtId="0" fontId="4" fillId="0" borderId="1" xfId="0" applyFont="1" applyBorder="1" applyAlignment="1">
      <alignment horizontal="left" vertical="center" wrapText="1"/>
    </xf>
    <xf numFmtId="0" fontId="4" fillId="0" borderId="1" xfId="0" applyFont="1" applyFill="1" applyBorder="1" applyAlignment="1">
      <alignment horizontal="justify" vertical="center" wrapText="1"/>
    </xf>
    <xf numFmtId="0" fontId="6" fillId="0" borderId="1" xfId="6" applyNumberFormat="1" applyFont="1" applyBorder="1" applyAlignment="1">
      <alignment horizontal="justify" vertical="center" wrapText="1"/>
    </xf>
    <xf numFmtId="0" fontId="4" fillId="0" borderId="1" xfId="0" applyFont="1" applyBorder="1" applyAlignment="1">
      <alignment vertical="center" wrapText="1"/>
    </xf>
    <xf numFmtId="0" fontId="4" fillId="3" borderId="1" xfId="0" applyFont="1" applyFill="1" applyBorder="1" applyAlignment="1">
      <alignment vertical="center"/>
    </xf>
    <xf numFmtId="0" fontId="4" fillId="0" borderId="1" xfId="0" applyFont="1" applyBorder="1" applyAlignment="1">
      <alignment vertical="center"/>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justify"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4" fillId="2" borderId="1" xfId="0" applyFont="1" applyFill="1" applyBorder="1" applyAlignment="1">
      <alignment vertical="top" wrapText="1"/>
    </xf>
    <xf numFmtId="0" fontId="11" fillId="7" borderId="9" xfId="10" applyFill="1" applyBorder="1"/>
    <xf numFmtId="0" fontId="11" fillId="7" borderId="0" xfId="10" applyFill="1" applyBorder="1"/>
    <xf numFmtId="0" fontId="11" fillId="7" borderId="10" xfId="10" applyFill="1" applyBorder="1"/>
    <xf numFmtId="0" fontId="11" fillId="7" borderId="0" xfId="10" applyFill="1"/>
    <xf numFmtId="0" fontId="11" fillId="0" borderId="0" xfId="10" applyBorder="1"/>
    <xf numFmtId="0" fontId="11" fillId="7" borderId="11" xfId="10" applyFill="1" applyBorder="1"/>
    <xf numFmtId="0" fontId="11" fillId="7" borderId="12" xfId="10" applyFill="1" applyBorder="1"/>
    <xf numFmtId="0" fontId="11" fillId="7" borderId="13" xfId="10" applyFill="1" applyBorder="1"/>
    <xf numFmtId="0" fontId="16" fillId="7" borderId="0" xfId="10" applyFont="1" applyFill="1" applyAlignment="1">
      <alignment vertical="top" wrapText="1"/>
    </xf>
    <xf numFmtId="0" fontId="16" fillId="0" borderId="6" xfId="10" applyFont="1" applyBorder="1" applyAlignment="1">
      <alignment vertical="top" wrapText="1"/>
    </xf>
    <xf numFmtId="0" fontId="16" fillId="0" borderId="7" xfId="10" applyFont="1" applyBorder="1" applyAlignment="1">
      <alignment vertical="top" wrapText="1"/>
    </xf>
    <xf numFmtId="0" fontId="16" fillId="0" borderId="8" xfId="10" applyFont="1" applyBorder="1" applyAlignment="1">
      <alignment vertical="top" wrapText="1"/>
    </xf>
    <xf numFmtId="0" fontId="16" fillId="0" borderId="9" xfId="10" applyFont="1" applyBorder="1" applyAlignment="1">
      <alignment vertical="top" wrapText="1"/>
    </xf>
    <xf numFmtId="0" fontId="16" fillId="0" borderId="0" xfId="10" applyFont="1" applyBorder="1" applyAlignment="1">
      <alignment vertical="top" wrapText="1"/>
    </xf>
    <xf numFmtId="0" fontId="16" fillId="0" borderId="10" xfId="10" applyFont="1" applyBorder="1" applyAlignment="1">
      <alignment vertical="top" wrapText="1"/>
    </xf>
    <xf numFmtId="0" fontId="17" fillId="0" borderId="0" xfId="10" applyFont="1" applyBorder="1" applyAlignment="1">
      <alignment vertical="top" wrapText="1"/>
    </xf>
    <xf numFmtId="0" fontId="16" fillId="0" borderId="11" xfId="10" applyFont="1" applyBorder="1" applyAlignment="1">
      <alignment vertical="top" wrapText="1"/>
    </xf>
    <xf numFmtId="0" fontId="16" fillId="0" borderId="12" xfId="10" applyFont="1" applyBorder="1" applyAlignment="1">
      <alignment vertical="top" wrapText="1"/>
    </xf>
    <xf numFmtId="0" fontId="16" fillId="0" borderId="13" xfId="10" applyFont="1" applyBorder="1" applyAlignment="1">
      <alignment vertical="top" wrapText="1"/>
    </xf>
    <xf numFmtId="0" fontId="16" fillId="7" borderId="0" xfId="10" applyFont="1" applyFill="1" applyBorder="1" applyAlignment="1">
      <alignment vertical="top" wrapText="1"/>
    </xf>
    <xf numFmtId="168" fontId="5" fillId="2" borderId="1" xfId="0" quotePrefix="1" applyNumberFormat="1" applyFont="1" applyFill="1" applyBorder="1" applyAlignment="1">
      <alignment horizontal="center" vertical="center" wrapText="1"/>
    </xf>
    <xf numFmtId="168" fontId="5" fillId="13" borderId="1" xfId="0" quotePrefix="1" applyNumberFormat="1" applyFont="1" applyFill="1" applyBorder="1" applyAlignment="1">
      <alignment horizontal="center" vertical="center" wrapText="1"/>
    </xf>
    <xf numFmtId="168" fontId="5" fillId="4" borderId="1" xfId="0" quotePrefix="1" applyNumberFormat="1" applyFont="1" applyFill="1" applyBorder="1" applyAlignment="1">
      <alignment horizontal="center" vertical="center" wrapText="1"/>
    </xf>
    <xf numFmtId="0" fontId="8" fillId="0" borderId="1" xfId="0" applyFont="1" applyBorder="1" applyAlignment="1">
      <alignment vertical="center"/>
    </xf>
    <xf numFmtId="0" fontId="8" fillId="0" borderId="0" xfId="0" applyFont="1" applyBorder="1" applyAlignment="1">
      <alignment vertical="center"/>
    </xf>
    <xf numFmtId="0" fontId="8" fillId="0" borderId="3" xfId="0" applyFont="1" applyBorder="1" applyAlignment="1">
      <alignment vertical="center"/>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4" fillId="0" borderId="1" xfId="0" applyFont="1" applyBorder="1" applyAlignment="1">
      <alignment horizontal="justify" vertical="center" wrapText="1"/>
    </xf>
    <xf numFmtId="0" fontId="4" fillId="0" borderId="0" xfId="0" applyFont="1" applyAlignment="1">
      <alignment horizontal="center" vertical="center"/>
    </xf>
    <xf numFmtId="0" fontId="4" fillId="3" borderId="0" xfId="0" applyFont="1" applyFill="1" applyAlignment="1">
      <alignment horizontal="center" vertical="center"/>
    </xf>
    <xf numFmtId="0" fontId="4" fillId="0" borderId="0" xfId="0" applyFont="1" applyFill="1" applyAlignment="1">
      <alignment horizontal="center" vertical="center"/>
    </xf>
    <xf numFmtId="0" fontId="22" fillId="0" borderId="1" xfId="0" applyFont="1" applyBorder="1"/>
    <xf numFmtId="0" fontId="22" fillId="0" borderId="1" xfId="0" applyFont="1" applyFill="1" applyBorder="1"/>
    <xf numFmtId="0" fontId="27" fillId="0" borderId="1" xfId="0" applyNumberFormat="1" applyFont="1" applyFill="1" applyBorder="1" applyAlignment="1">
      <alignment wrapText="1"/>
    </xf>
    <xf numFmtId="0" fontId="27" fillId="0" borderId="1" xfId="0" applyFont="1" applyFill="1" applyBorder="1"/>
    <xf numFmtId="43" fontId="22" fillId="0" borderId="1" xfId="42" applyFont="1" applyBorder="1"/>
    <xf numFmtId="168" fontId="22" fillId="0" borderId="1" xfId="42" applyNumberFormat="1" applyFont="1" applyFill="1" applyBorder="1" applyAlignment="1">
      <alignment horizontal="center" vertical="center" wrapText="1"/>
    </xf>
    <xf numFmtId="9" fontId="22" fillId="4" borderId="1" xfId="43" applyFont="1" applyFill="1" applyBorder="1" applyAlignment="1">
      <alignment horizontal="center" wrapText="1"/>
    </xf>
    <xf numFmtId="0" fontId="27" fillId="0" borderId="1" xfId="0" applyNumberFormat="1" applyFont="1" applyFill="1" applyBorder="1" applyAlignment="1">
      <alignment wrapText="1" shrinkToFit="1"/>
    </xf>
    <xf numFmtId="0" fontId="27" fillId="0" borderId="1" xfId="0" applyFont="1" applyFill="1" applyBorder="1" applyAlignment="1">
      <alignment shrinkToFit="1"/>
    </xf>
    <xf numFmtId="0" fontId="6" fillId="0" borderId="1" xfId="0" applyFont="1" applyFill="1" applyBorder="1" applyAlignment="1">
      <alignment horizontal="center" vertical="center" wrapText="1"/>
    </xf>
    <xf numFmtId="0" fontId="6" fillId="0" borderId="1" xfId="9" applyFont="1" applyFill="1" applyBorder="1" applyAlignment="1">
      <alignment horizontal="center" vertical="center" wrapText="1"/>
    </xf>
    <xf numFmtId="0" fontId="4" fillId="0" borderId="0" xfId="0" applyFont="1" applyAlignment="1">
      <alignment horizontal="left" vertical="top" wrapText="1"/>
    </xf>
    <xf numFmtId="0" fontId="4" fillId="14" borderId="1" xfId="0" applyFont="1" applyFill="1" applyBorder="1" applyAlignment="1">
      <alignment horizontal="center" vertical="center"/>
    </xf>
    <xf numFmtId="0" fontId="4" fillId="2" borderId="1" xfId="0" applyFont="1" applyFill="1" applyBorder="1" applyAlignment="1">
      <alignment vertical="center" wrapText="1"/>
    </xf>
    <xf numFmtId="0" fontId="4" fillId="0" borderId="1" xfId="0" applyFont="1" applyBorder="1" applyAlignment="1">
      <alignment vertical="top"/>
    </xf>
    <xf numFmtId="0" fontId="4" fillId="0" borderId="1" xfId="0" applyFont="1" applyBorder="1" applyAlignment="1">
      <alignment horizontal="center" vertical="top"/>
    </xf>
    <xf numFmtId="0" fontId="4" fillId="0" borderId="1" xfId="0" applyFont="1" applyBorder="1" applyAlignment="1">
      <alignment horizontal="left" vertical="top" wrapText="1"/>
    </xf>
    <xf numFmtId="0" fontId="4" fillId="0" borderId="1" xfId="0" applyFont="1" applyBorder="1"/>
    <xf numFmtId="0" fontId="4" fillId="0" borderId="1" xfId="0" applyFont="1" applyBorder="1" applyAlignment="1">
      <alignment vertical="top" wrapText="1"/>
    </xf>
    <xf numFmtId="0" fontId="11" fillId="11" borderId="6" xfId="10" applyFill="1" applyBorder="1" applyAlignment="1">
      <alignment horizontal="center"/>
    </xf>
    <xf numFmtId="0" fontId="11" fillId="11" borderId="7" xfId="10" applyFill="1" applyBorder="1" applyAlignment="1">
      <alignment horizontal="center"/>
    </xf>
    <xf numFmtId="0" fontId="11" fillId="11" borderId="8" xfId="10" applyFill="1" applyBorder="1" applyAlignment="1">
      <alignment horizontal="center"/>
    </xf>
    <xf numFmtId="0" fontId="11" fillId="11" borderId="9" xfId="10" applyFill="1" applyBorder="1" applyAlignment="1">
      <alignment horizontal="center"/>
    </xf>
    <xf numFmtId="0" fontId="11" fillId="11" borderId="11" xfId="10" applyFill="1" applyBorder="1" applyAlignment="1">
      <alignment horizontal="center"/>
    </xf>
    <xf numFmtId="0" fontId="11" fillId="11" borderId="10" xfId="10" applyFill="1" applyBorder="1" applyAlignment="1">
      <alignment horizontal="center"/>
    </xf>
    <xf numFmtId="0" fontId="11" fillId="11" borderId="13" xfId="10" applyFill="1" applyBorder="1" applyAlignment="1">
      <alignment horizontal="center"/>
    </xf>
    <xf numFmtId="0" fontId="15" fillId="0" borderId="0" xfId="10" applyFont="1" applyFill="1" applyBorder="1" applyAlignment="1">
      <alignment horizontal="center" wrapText="1"/>
    </xf>
    <xf numFmtId="0" fontId="15" fillId="0" borderId="0" xfId="10" applyFont="1" applyFill="1" applyBorder="1" applyAlignment="1">
      <alignment horizontal="center"/>
    </xf>
    <xf numFmtId="0" fontId="11" fillId="11" borderId="12" xfId="10" applyFill="1" applyBorder="1" applyAlignment="1">
      <alignment horizontal="center"/>
    </xf>
    <xf numFmtId="0" fontId="16" fillId="0" borderId="14" xfId="10" applyFont="1" applyBorder="1" applyAlignment="1">
      <alignment horizontal="center" vertical="center" wrapText="1"/>
    </xf>
    <xf numFmtId="0" fontId="16" fillId="0" borderId="15" xfId="10" applyFont="1" applyBorder="1" applyAlignment="1">
      <alignment horizontal="center" vertical="center" wrapText="1"/>
    </xf>
    <xf numFmtId="0" fontId="16" fillId="0" borderId="6" xfId="10" applyFont="1" applyBorder="1" applyAlignment="1">
      <alignment horizontal="left" vertical="center" wrapText="1"/>
    </xf>
    <xf numFmtId="0" fontId="16" fillId="0" borderId="7" xfId="10" applyFont="1" applyBorder="1" applyAlignment="1">
      <alignment horizontal="left" vertical="center" wrapText="1"/>
    </xf>
    <xf numFmtId="0" fontId="16" fillId="0" borderId="8" xfId="10" applyFont="1" applyBorder="1" applyAlignment="1">
      <alignment horizontal="left" vertical="center" wrapText="1"/>
    </xf>
    <xf numFmtId="0" fontId="16" fillId="0" borderId="11" xfId="10" applyFont="1" applyBorder="1" applyAlignment="1">
      <alignment horizontal="left" vertical="center" wrapText="1"/>
    </xf>
    <xf numFmtId="0" fontId="16" fillId="0" borderId="12" xfId="10" applyFont="1" applyBorder="1" applyAlignment="1">
      <alignment horizontal="left" vertical="center" wrapText="1"/>
    </xf>
    <xf numFmtId="0" fontId="16" fillId="0" borderId="13" xfId="10" applyFont="1" applyBorder="1" applyAlignment="1">
      <alignment horizontal="left" vertical="center" wrapText="1"/>
    </xf>
    <xf numFmtId="0" fontId="20" fillId="0" borderId="14" xfId="25" quotePrefix="1" applyFont="1" applyBorder="1" applyAlignment="1">
      <alignment horizontal="left" vertical="center" wrapText="1"/>
    </xf>
    <xf numFmtId="0" fontId="20" fillId="0" borderId="15" xfId="25" applyFont="1" applyBorder="1" applyAlignment="1">
      <alignment horizontal="left" vertical="center" wrapText="1"/>
    </xf>
    <xf numFmtId="0" fontId="20" fillId="0" borderId="14" xfId="25" quotePrefix="1" applyFont="1" applyBorder="1" applyAlignment="1">
      <alignment horizontal="left" vertical="center"/>
    </xf>
    <xf numFmtId="0" fontId="20" fillId="0" borderId="15" xfId="25" applyFont="1" applyBorder="1" applyAlignment="1">
      <alignment horizontal="left" vertical="center"/>
    </xf>
    <xf numFmtId="0" fontId="19" fillId="0" borderId="14" xfId="25" quotePrefix="1" applyBorder="1" applyAlignment="1">
      <alignment horizontal="left" vertical="center"/>
    </xf>
    <xf numFmtId="0" fontId="19" fillId="0" borderId="15" xfId="25" quotePrefix="1" applyBorder="1" applyAlignment="1">
      <alignment horizontal="left" vertical="center"/>
    </xf>
    <xf numFmtId="0" fontId="17" fillId="2" borderId="6" xfId="10" applyFont="1" applyFill="1" applyBorder="1" applyAlignment="1">
      <alignment horizontal="center" vertical="top" wrapText="1"/>
    </xf>
    <xf numFmtId="0" fontId="17" fillId="2" borderId="7" xfId="10" applyFont="1" applyFill="1" applyBorder="1" applyAlignment="1">
      <alignment horizontal="center" vertical="top" wrapText="1"/>
    </xf>
    <xf numFmtId="0" fontId="17" fillId="2" borderId="8" xfId="10" applyFont="1" applyFill="1" applyBorder="1" applyAlignment="1">
      <alignment horizontal="center" vertical="top" wrapText="1"/>
    </xf>
    <xf numFmtId="0" fontId="17" fillId="2" borderId="11" xfId="10" applyFont="1" applyFill="1" applyBorder="1" applyAlignment="1">
      <alignment horizontal="center" vertical="top" wrapText="1"/>
    </xf>
    <xf numFmtId="0" fontId="17" fillId="2" borderId="12" xfId="10" applyFont="1" applyFill="1" applyBorder="1" applyAlignment="1">
      <alignment horizontal="center" vertical="top" wrapText="1"/>
    </xf>
    <xf numFmtId="0" fontId="17" fillId="2" borderId="13" xfId="10" applyFont="1" applyFill="1" applyBorder="1" applyAlignment="1">
      <alignment horizontal="center" vertical="top" wrapText="1"/>
    </xf>
    <xf numFmtId="0" fontId="18" fillId="11" borderId="14" xfId="10" applyFont="1" applyFill="1" applyBorder="1" applyAlignment="1">
      <alignment horizontal="center" vertical="top" wrapText="1"/>
    </xf>
    <xf numFmtId="0" fontId="18" fillId="11" borderId="15" xfId="10" applyFont="1" applyFill="1" applyBorder="1" applyAlignment="1">
      <alignment horizontal="center" vertical="top" wrapText="1"/>
    </xf>
    <xf numFmtId="0" fontId="18" fillId="11" borderId="6" xfId="10" applyFont="1" applyFill="1" applyBorder="1" applyAlignment="1">
      <alignment horizontal="center" vertical="top" wrapText="1"/>
    </xf>
    <xf numFmtId="0" fontId="18" fillId="11" borderId="7" xfId="10" applyFont="1" applyFill="1" applyBorder="1" applyAlignment="1">
      <alignment horizontal="center" vertical="top" wrapText="1"/>
    </xf>
    <xf numFmtId="0" fontId="18" fillId="11" borderId="8" xfId="10" applyFont="1" applyFill="1" applyBorder="1" applyAlignment="1">
      <alignment horizontal="center" vertical="top" wrapText="1"/>
    </xf>
    <xf numFmtId="0" fontId="18" fillId="11" borderId="11" xfId="10" applyFont="1" applyFill="1" applyBorder="1" applyAlignment="1">
      <alignment horizontal="center" vertical="top" wrapText="1"/>
    </xf>
    <xf numFmtId="0" fontId="18" fillId="11" borderId="12" xfId="10" applyFont="1" applyFill="1" applyBorder="1" applyAlignment="1">
      <alignment horizontal="center" vertical="top" wrapText="1"/>
    </xf>
    <xf numFmtId="0" fontId="18" fillId="11" borderId="13" xfId="10" applyFont="1" applyFill="1" applyBorder="1" applyAlignment="1">
      <alignment horizontal="center" vertical="top" wrapText="1"/>
    </xf>
    <xf numFmtId="0" fontId="20" fillId="0" borderId="15" xfId="25" quotePrefix="1" applyFont="1" applyBorder="1" applyAlignment="1">
      <alignment horizontal="left" vertical="center"/>
    </xf>
    <xf numFmtId="0" fontId="4" fillId="2" borderId="1" xfId="0" applyFont="1" applyFill="1" applyBorder="1" applyAlignment="1">
      <alignment horizontal="center" vertical="top" wrapText="1"/>
    </xf>
    <xf numFmtId="0" fontId="8" fillId="7" borderId="0" xfId="0" applyFont="1" applyFill="1" applyAlignment="1">
      <alignment horizontal="left"/>
    </xf>
    <xf numFmtId="0" fontId="3" fillId="9" borderId="1" xfId="0" applyFont="1" applyFill="1" applyBorder="1" applyAlignment="1">
      <alignment horizontal="center" vertical="center" wrapText="1"/>
    </xf>
    <xf numFmtId="0" fontId="3" fillId="3" borderId="0" xfId="0" applyFont="1" applyFill="1" applyAlignment="1">
      <alignment horizontal="center"/>
    </xf>
    <xf numFmtId="0" fontId="4" fillId="3" borderId="6" xfId="0" applyFont="1" applyFill="1" applyBorder="1" applyAlignment="1">
      <alignment horizontal="left" vertical="top" wrapText="1"/>
    </xf>
    <xf numFmtId="0" fontId="4" fillId="3" borderId="7" xfId="0" applyFont="1" applyFill="1" applyBorder="1" applyAlignment="1">
      <alignment horizontal="left" vertical="top" wrapText="1"/>
    </xf>
    <xf numFmtId="0" fontId="4" fillId="3" borderId="8" xfId="0" applyFont="1" applyFill="1" applyBorder="1" applyAlignment="1">
      <alignment horizontal="left" vertical="top" wrapText="1"/>
    </xf>
    <xf numFmtId="0" fontId="4" fillId="3" borderId="9" xfId="0" applyFont="1" applyFill="1" applyBorder="1" applyAlignment="1">
      <alignment horizontal="left" vertical="top" wrapText="1"/>
    </xf>
    <xf numFmtId="0" fontId="4" fillId="3" borderId="0" xfId="0" applyFont="1" applyFill="1" applyBorder="1" applyAlignment="1">
      <alignment horizontal="left" vertical="top" wrapText="1"/>
    </xf>
    <xf numFmtId="0" fontId="4" fillId="3" borderId="10" xfId="0" applyFont="1" applyFill="1" applyBorder="1" applyAlignment="1">
      <alignment horizontal="left" vertical="top" wrapText="1"/>
    </xf>
    <xf numFmtId="0" fontId="4" fillId="3" borderId="11" xfId="0" applyFont="1" applyFill="1" applyBorder="1" applyAlignment="1">
      <alignment horizontal="left" vertical="top" wrapText="1"/>
    </xf>
    <xf numFmtId="0" fontId="4" fillId="3" borderId="12" xfId="0" applyFont="1" applyFill="1" applyBorder="1" applyAlignment="1">
      <alignment horizontal="left" vertical="top" wrapText="1"/>
    </xf>
    <xf numFmtId="0" fontId="4" fillId="3" borderId="13" xfId="0" applyFont="1" applyFill="1" applyBorder="1" applyAlignment="1">
      <alignment horizontal="left" vertical="top" wrapText="1"/>
    </xf>
  </cellXfs>
  <cellStyles count="44">
    <cellStyle name="Comma" xfId="42" builtinId="3"/>
    <cellStyle name="Comma 2" xfId="7"/>
    <cellStyle name="Comma 3" xfId="26"/>
    <cellStyle name="Comma 4" xfId="27"/>
    <cellStyle name="Hyperlink" xfId="25" builtinId="8"/>
    <cellStyle name="Hyperlink 2" xfId="28"/>
    <cellStyle name="Nor}al" xfId="1"/>
    <cellStyle name="Nor}al 2" xfId="8"/>
    <cellStyle name="Nor}al 2 2" xfId="2"/>
    <cellStyle name="Nor}al 3" xfId="29"/>
    <cellStyle name="Normal" xfId="0" builtinId="0"/>
    <cellStyle name="Normal 2" xfId="3"/>
    <cellStyle name="Normal 2 2" xfId="9"/>
    <cellStyle name="Normal 2 2 2" xfId="10"/>
    <cellStyle name="Normal 2 2 2 2" xfId="30"/>
    <cellStyle name="Normal 2 2 3" xfId="31"/>
    <cellStyle name="Normal 2 3" xfId="11"/>
    <cellStyle name="Normal 2 3 2" xfId="32"/>
    <cellStyle name="Normal 2 4" xfId="33"/>
    <cellStyle name="Normal 2 5" xfId="34"/>
    <cellStyle name="Normal 2 6" xfId="35"/>
    <cellStyle name="Normal 3" xfId="12"/>
    <cellStyle name="Normal 3 2" xfId="13"/>
    <cellStyle name="Normal 3 2 2" xfId="36"/>
    <cellStyle name="Normal 3 3" xfId="37"/>
    <cellStyle name="Normal 4" xfId="6"/>
    <cellStyle name="Normal 5" xfId="4"/>
    <cellStyle name="Normal 6" xfId="14"/>
    <cellStyle name="Normal 6 2 2" xfId="5"/>
    <cellStyle name="Normal 7" xfId="38"/>
    <cellStyle name="Normal 9" xfId="15"/>
    <cellStyle name="Note 2" xfId="16"/>
    <cellStyle name="Note 2 2" xfId="39"/>
    <cellStyle name="Percent" xfId="43" builtinId="5"/>
    <cellStyle name="Percent 2" xfId="17"/>
    <cellStyle name="Percent 3" xfId="40"/>
    <cellStyle name="Percent 4" xfId="41"/>
    <cellStyle name="Style 1" xfId="18"/>
    <cellStyle name="パーセント()" xfId="19"/>
    <cellStyle name="パーセント(0.00)" xfId="20"/>
    <cellStyle name="パーセント[0.00]" xfId="21"/>
    <cellStyle name="折り返し" xfId="22"/>
    <cellStyle name="標準_37 税務テスト調書_課題報告書" xfId="23"/>
    <cellStyle name="見出し１" xfId="24"/>
  </cellStyles>
  <dxfs count="10">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ont>
        <color rgb="FF9C6500"/>
      </font>
      <fill>
        <patternFill>
          <bgColor rgb="FFFFEB9C"/>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2</xdr:row>
      <xdr:rowOff>0</xdr:rowOff>
    </xdr:from>
    <xdr:to>
      <xdr:col>8</xdr:col>
      <xdr:colOff>590550</xdr:colOff>
      <xdr:row>14</xdr:row>
      <xdr:rowOff>133350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76300" y="390525"/>
          <a:ext cx="4229100" cy="24193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L21"/>
  <sheetViews>
    <sheetView showGridLines="0" tabSelected="1" zoomScaleNormal="100" zoomScaleSheetLayoutView="53" workbookViewId="0"/>
  </sheetViews>
  <sheetFormatPr defaultRowHeight="15"/>
  <cols>
    <col min="1" max="1" width="3.7109375" style="74" customWidth="1"/>
    <col min="2" max="10" width="9.140625" style="74"/>
    <col min="11" max="11" width="3.7109375" style="74" customWidth="1"/>
    <col min="12" max="16384" width="9.140625" style="74"/>
  </cols>
  <sheetData>
    <row r="1" spans="1:12" ht="15.75" thickBot="1">
      <c r="A1" s="71"/>
      <c r="B1" s="72"/>
      <c r="C1" s="72"/>
      <c r="D1" s="72"/>
      <c r="E1" s="72"/>
      <c r="F1" s="72"/>
      <c r="G1" s="72"/>
      <c r="H1" s="72"/>
      <c r="I1" s="72"/>
      <c r="J1" s="72"/>
      <c r="K1" s="73"/>
      <c r="L1" s="72"/>
    </row>
    <row r="2" spans="1:12">
      <c r="A2" s="71"/>
      <c r="B2" s="125"/>
      <c r="C2" s="126"/>
      <c r="D2" s="126"/>
      <c r="E2" s="126"/>
      <c r="F2" s="126"/>
      <c r="G2" s="126"/>
      <c r="H2" s="126"/>
      <c r="I2" s="126"/>
      <c r="J2" s="127"/>
      <c r="K2" s="73"/>
      <c r="L2" s="72"/>
    </row>
    <row r="3" spans="1:12">
      <c r="A3" s="71"/>
      <c r="B3" s="128"/>
      <c r="C3" s="75"/>
      <c r="D3" s="75"/>
      <c r="E3" s="75"/>
      <c r="F3" s="75"/>
      <c r="G3" s="75"/>
      <c r="H3" s="75"/>
      <c r="I3" s="75"/>
      <c r="J3" s="130"/>
      <c r="K3" s="73"/>
      <c r="L3" s="72"/>
    </row>
    <row r="4" spans="1:12">
      <c r="A4" s="71"/>
      <c r="B4" s="128"/>
      <c r="C4" s="75"/>
      <c r="D4" s="75"/>
      <c r="E4" s="75"/>
      <c r="F4" s="75"/>
      <c r="G4" s="75"/>
      <c r="H4" s="75"/>
      <c r="I4" s="75"/>
      <c r="J4" s="130"/>
      <c r="K4" s="73"/>
      <c r="L4" s="72"/>
    </row>
    <row r="5" spans="1:12">
      <c r="A5" s="71"/>
      <c r="B5" s="128"/>
      <c r="C5" s="75"/>
      <c r="D5" s="75"/>
      <c r="E5" s="75"/>
      <c r="F5" s="75"/>
      <c r="G5" s="75"/>
      <c r="H5" s="75"/>
      <c r="I5" s="75"/>
      <c r="J5" s="130"/>
      <c r="K5" s="73"/>
      <c r="L5" s="72"/>
    </row>
    <row r="6" spans="1:12">
      <c r="A6" s="71"/>
      <c r="B6" s="128"/>
      <c r="C6" s="75"/>
      <c r="D6" s="75"/>
      <c r="E6" s="75"/>
      <c r="F6" s="75"/>
      <c r="G6" s="75"/>
      <c r="H6" s="75"/>
      <c r="I6" s="75"/>
      <c r="J6" s="130"/>
      <c r="K6" s="73"/>
      <c r="L6" s="72"/>
    </row>
    <row r="7" spans="1:12">
      <c r="A7" s="71"/>
      <c r="B7" s="128"/>
      <c r="C7" s="75"/>
      <c r="D7" s="75"/>
      <c r="E7" s="75"/>
      <c r="F7" s="75"/>
      <c r="G7" s="75"/>
      <c r="H7" s="75"/>
      <c r="I7" s="75"/>
      <c r="J7" s="130"/>
      <c r="K7" s="73"/>
      <c r="L7" s="72"/>
    </row>
    <row r="8" spans="1:12">
      <c r="A8" s="71"/>
      <c r="B8" s="128"/>
      <c r="C8" s="75"/>
      <c r="D8" s="75"/>
      <c r="E8" s="75"/>
      <c r="F8" s="75"/>
      <c r="G8" s="75"/>
      <c r="H8" s="75"/>
      <c r="I8" s="75"/>
      <c r="J8" s="130"/>
      <c r="K8" s="73"/>
      <c r="L8" s="72"/>
    </row>
    <row r="9" spans="1:12">
      <c r="A9" s="71"/>
      <c r="B9" s="128"/>
      <c r="C9" s="75"/>
      <c r="D9" s="75"/>
      <c r="E9" s="75"/>
      <c r="F9" s="75"/>
      <c r="G9" s="75"/>
      <c r="H9" s="75"/>
      <c r="I9" s="75"/>
      <c r="J9" s="130"/>
      <c r="K9" s="73"/>
      <c r="L9" s="72"/>
    </row>
    <row r="10" spans="1:12">
      <c r="A10" s="71"/>
      <c r="B10" s="128"/>
      <c r="C10" s="75"/>
      <c r="D10" s="75"/>
      <c r="E10" s="75"/>
      <c r="F10" s="75"/>
      <c r="G10" s="75"/>
      <c r="H10" s="75"/>
      <c r="I10" s="75"/>
      <c r="J10" s="130"/>
      <c r="K10" s="73"/>
      <c r="L10" s="72"/>
    </row>
    <row r="11" spans="1:12">
      <c r="A11" s="71"/>
      <c r="B11" s="128"/>
      <c r="C11" s="75"/>
      <c r="D11" s="75"/>
      <c r="E11" s="75"/>
      <c r="F11" s="75"/>
      <c r="G11" s="75"/>
      <c r="H11" s="75"/>
      <c r="I11" s="75"/>
      <c r="J11" s="130"/>
      <c r="K11" s="73"/>
      <c r="L11" s="72"/>
    </row>
    <row r="12" spans="1:12">
      <c r="A12" s="71"/>
      <c r="B12" s="128"/>
      <c r="C12" s="75"/>
      <c r="D12" s="75"/>
      <c r="E12" s="75"/>
      <c r="F12" s="75"/>
      <c r="G12" s="75"/>
      <c r="H12" s="75"/>
      <c r="I12" s="75"/>
      <c r="J12" s="130"/>
      <c r="K12" s="73"/>
      <c r="L12" s="72"/>
    </row>
    <row r="13" spans="1:12">
      <c r="A13" s="71"/>
      <c r="B13" s="128"/>
      <c r="C13" s="75"/>
      <c r="D13" s="75"/>
      <c r="E13" s="75"/>
      <c r="F13" s="75"/>
      <c r="G13" s="75"/>
      <c r="H13" s="75"/>
      <c r="I13" s="75"/>
      <c r="J13" s="130"/>
      <c r="K13" s="73"/>
      <c r="L13" s="72"/>
    </row>
    <row r="14" spans="1:12">
      <c r="A14" s="71"/>
      <c r="B14" s="128"/>
      <c r="C14" s="75"/>
      <c r="D14" s="75"/>
      <c r="E14" s="75"/>
      <c r="F14" s="75"/>
      <c r="G14" s="75"/>
      <c r="H14" s="75"/>
      <c r="I14" s="75"/>
      <c r="J14" s="130"/>
      <c r="K14" s="73"/>
      <c r="L14" s="72"/>
    </row>
    <row r="15" spans="1:12">
      <c r="A15" s="71"/>
      <c r="B15" s="128"/>
      <c r="C15" s="132" t="s">
        <v>96</v>
      </c>
      <c r="D15" s="132"/>
      <c r="E15" s="132"/>
      <c r="F15" s="132"/>
      <c r="G15" s="132"/>
      <c r="H15" s="132"/>
      <c r="I15" s="132"/>
      <c r="J15" s="130"/>
      <c r="K15" s="73"/>
      <c r="L15" s="72"/>
    </row>
    <row r="16" spans="1:12" ht="21.75" customHeight="1">
      <c r="A16" s="71"/>
      <c r="B16" s="128"/>
      <c r="C16" s="132"/>
      <c r="D16" s="132"/>
      <c r="E16" s="132"/>
      <c r="F16" s="132"/>
      <c r="G16" s="132"/>
      <c r="H16" s="132"/>
      <c r="I16" s="132"/>
      <c r="J16" s="130"/>
      <c r="K16" s="73"/>
      <c r="L16" s="72"/>
    </row>
    <row r="17" spans="1:12">
      <c r="A17" s="71"/>
      <c r="B17" s="128"/>
      <c r="C17" s="133" t="s">
        <v>246</v>
      </c>
      <c r="D17" s="133"/>
      <c r="E17" s="133"/>
      <c r="F17" s="133"/>
      <c r="G17" s="133"/>
      <c r="H17" s="133"/>
      <c r="I17" s="133"/>
      <c r="J17" s="130"/>
      <c r="K17" s="73"/>
      <c r="L17" s="72"/>
    </row>
    <row r="18" spans="1:12">
      <c r="A18" s="71"/>
      <c r="B18" s="128"/>
      <c r="C18" s="133"/>
      <c r="D18" s="133"/>
      <c r="E18" s="133"/>
      <c r="F18" s="133"/>
      <c r="G18" s="133"/>
      <c r="H18" s="133"/>
      <c r="I18" s="133"/>
      <c r="J18" s="130"/>
      <c r="K18" s="73"/>
      <c r="L18" s="72"/>
    </row>
    <row r="19" spans="1:12">
      <c r="A19" s="71"/>
      <c r="B19" s="128"/>
      <c r="C19" s="75"/>
      <c r="D19" s="75"/>
      <c r="E19" s="75"/>
      <c r="F19" s="75"/>
      <c r="G19" s="75"/>
      <c r="H19" s="75"/>
      <c r="I19" s="75"/>
      <c r="J19" s="130"/>
      <c r="K19" s="73"/>
      <c r="L19" s="72"/>
    </row>
    <row r="20" spans="1:12" ht="15.75" thickBot="1">
      <c r="A20" s="71"/>
      <c r="B20" s="129"/>
      <c r="C20" s="134"/>
      <c r="D20" s="134"/>
      <c r="E20" s="134"/>
      <c r="F20" s="134"/>
      <c r="G20" s="134"/>
      <c r="H20" s="134"/>
      <c r="I20" s="134"/>
      <c r="J20" s="131"/>
      <c r="K20" s="73"/>
      <c r="L20" s="72"/>
    </row>
    <row r="21" spans="1:12" ht="15.75" thickBot="1">
      <c r="A21" s="76"/>
      <c r="B21" s="77"/>
      <c r="C21" s="77"/>
      <c r="D21" s="77"/>
      <c r="E21" s="77"/>
      <c r="F21" s="77"/>
      <c r="G21" s="77"/>
      <c r="H21" s="77"/>
      <c r="I21" s="77"/>
      <c r="J21" s="77"/>
      <c r="K21" s="78"/>
      <c r="L21" s="72"/>
    </row>
  </sheetData>
  <mergeCells count="6">
    <mergeCell ref="B2:J2"/>
    <mergeCell ref="B3:B20"/>
    <mergeCell ref="J3:J20"/>
    <mergeCell ref="C15:I16"/>
    <mergeCell ref="C17:I18"/>
    <mergeCell ref="C20:I20"/>
  </mergeCells>
  <pageMargins left="0.7" right="0.7" top="0.75" bottom="0.75" header="0.3" footer="0.3"/>
  <pageSetup paperSize="9" scale="7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B1:J21"/>
  <sheetViews>
    <sheetView showGridLines="0" zoomScale="75" zoomScaleNormal="75" zoomScaleSheetLayoutView="62" workbookViewId="0">
      <selection activeCell="I14" sqref="I14:I15"/>
    </sheetView>
  </sheetViews>
  <sheetFormatPr defaultRowHeight="15"/>
  <cols>
    <col min="1" max="2" width="9.140625" style="79"/>
    <col min="3" max="3" width="10.7109375" style="79" customWidth="1"/>
    <col min="4" max="7" width="9.140625" style="79"/>
    <col min="8" max="8" width="14" style="79" customWidth="1"/>
    <col min="9" max="9" width="27.7109375" style="79" customWidth="1"/>
    <col min="10" max="16384" width="9.140625" style="79"/>
  </cols>
  <sheetData>
    <row r="1" spans="2:10" ht="15.75" thickBot="1"/>
    <row r="2" spans="2:10">
      <c r="B2" s="80"/>
      <c r="C2" s="81"/>
      <c r="D2" s="81"/>
      <c r="E2" s="81"/>
      <c r="F2" s="81"/>
      <c r="G2" s="81"/>
      <c r="H2" s="81"/>
      <c r="I2" s="81"/>
      <c r="J2" s="82"/>
    </row>
    <row r="3" spans="2:10" ht="15.75" thickBot="1">
      <c r="B3" s="83"/>
      <c r="C3" s="84"/>
      <c r="D3" s="84"/>
      <c r="E3" s="84"/>
      <c r="F3" s="84"/>
      <c r="G3" s="84"/>
      <c r="H3" s="84"/>
      <c r="I3" s="84"/>
      <c r="J3" s="85"/>
    </row>
    <row r="4" spans="2:10">
      <c r="B4" s="83"/>
      <c r="C4" s="149" t="s">
        <v>88</v>
      </c>
      <c r="D4" s="150"/>
      <c r="E4" s="150"/>
      <c r="F4" s="150"/>
      <c r="G4" s="150"/>
      <c r="H4" s="150"/>
      <c r="I4" s="151"/>
      <c r="J4" s="85"/>
    </row>
    <row r="5" spans="2:10" ht="15.75" thickBot="1">
      <c r="B5" s="83"/>
      <c r="C5" s="152"/>
      <c r="D5" s="153"/>
      <c r="E5" s="153"/>
      <c r="F5" s="153"/>
      <c r="G5" s="153"/>
      <c r="H5" s="153"/>
      <c r="I5" s="154"/>
      <c r="J5" s="85"/>
    </row>
    <row r="6" spans="2:10">
      <c r="B6" s="83"/>
      <c r="C6" s="84"/>
      <c r="D6" s="84"/>
      <c r="E6" s="84"/>
      <c r="F6" s="84"/>
      <c r="G6" s="84"/>
      <c r="H6" s="84"/>
      <c r="I6" s="84"/>
      <c r="J6" s="85"/>
    </row>
    <row r="7" spans="2:10" ht="15.75" thickBot="1">
      <c r="B7" s="83"/>
      <c r="C7" s="84"/>
      <c r="D7" s="84"/>
      <c r="E7" s="84"/>
      <c r="F7" s="84"/>
      <c r="G7" s="84"/>
      <c r="H7" s="84"/>
      <c r="I7" s="84"/>
      <c r="J7" s="85"/>
    </row>
    <row r="8" spans="2:10">
      <c r="B8" s="83"/>
      <c r="C8" s="155" t="s">
        <v>89</v>
      </c>
      <c r="D8" s="157" t="s">
        <v>90</v>
      </c>
      <c r="E8" s="158"/>
      <c r="F8" s="158"/>
      <c r="G8" s="158"/>
      <c r="H8" s="158"/>
      <c r="I8" s="159"/>
      <c r="J8" s="85"/>
    </row>
    <row r="9" spans="2:10" ht="15.75" thickBot="1">
      <c r="B9" s="83"/>
      <c r="C9" s="156"/>
      <c r="D9" s="160"/>
      <c r="E9" s="161"/>
      <c r="F9" s="161"/>
      <c r="G9" s="161"/>
      <c r="H9" s="161"/>
      <c r="I9" s="162"/>
      <c r="J9" s="85"/>
    </row>
    <row r="10" spans="2:10" ht="15" customHeight="1">
      <c r="B10" s="83"/>
      <c r="C10" s="135">
        <v>1</v>
      </c>
      <c r="D10" s="137" t="s">
        <v>93</v>
      </c>
      <c r="E10" s="138"/>
      <c r="F10" s="138"/>
      <c r="G10" s="138"/>
      <c r="H10" s="139"/>
      <c r="I10" s="145" t="s">
        <v>94</v>
      </c>
      <c r="J10" s="85"/>
    </row>
    <row r="11" spans="2:10" ht="15.75" thickBot="1">
      <c r="B11" s="83"/>
      <c r="C11" s="136"/>
      <c r="D11" s="140"/>
      <c r="E11" s="141"/>
      <c r="F11" s="141"/>
      <c r="G11" s="141"/>
      <c r="H11" s="142"/>
      <c r="I11" s="163"/>
      <c r="J11" s="85"/>
    </row>
    <row r="12" spans="2:10" ht="15" customHeight="1">
      <c r="B12" s="83"/>
      <c r="C12" s="135">
        <f>C10+1</f>
        <v>2</v>
      </c>
      <c r="D12" s="137" t="s">
        <v>91</v>
      </c>
      <c r="E12" s="138"/>
      <c r="F12" s="138"/>
      <c r="G12" s="138"/>
      <c r="H12" s="139"/>
      <c r="I12" s="145" t="s">
        <v>92</v>
      </c>
      <c r="J12" s="85"/>
    </row>
    <row r="13" spans="2:10" ht="15.75" thickBot="1">
      <c r="B13" s="83"/>
      <c r="C13" s="136"/>
      <c r="D13" s="140"/>
      <c r="E13" s="141"/>
      <c r="F13" s="141"/>
      <c r="G13" s="141"/>
      <c r="H13" s="142"/>
      <c r="I13" s="146"/>
      <c r="J13" s="85"/>
    </row>
    <row r="14" spans="2:10" ht="15" customHeight="1">
      <c r="B14" s="83"/>
      <c r="C14" s="135">
        <f t="shared" ref="C14" si="0">C12+1</f>
        <v>3</v>
      </c>
      <c r="D14" s="137" t="s">
        <v>232</v>
      </c>
      <c r="E14" s="138"/>
      <c r="F14" s="138"/>
      <c r="G14" s="138"/>
      <c r="H14" s="139"/>
      <c r="I14" s="147" t="s">
        <v>233</v>
      </c>
      <c r="J14" s="85"/>
    </row>
    <row r="15" spans="2:10" ht="15.75" thickBot="1">
      <c r="B15" s="83"/>
      <c r="C15" s="136"/>
      <c r="D15" s="140"/>
      <c r="E15" s="141"/>
      <c r="F15" s="141"/>
      <c r="G15" s="141"/>
      <c r="H15" s="142"/>
      <c r="I15" s="148"/>
      <c r="J15" s="85"/>
    </row>
    <row r="16" spans="2:10" ht="15" customHeight="1">
      <c r="B16" s="83"/>
      <c r="C16" s="135">
        <f t="shared" ref="C16" si="1">C14+1</f>
        <v>4</v>
      </c>
      <c r="D16" s="137" t="s">
        <v>87</v>
      </c>
      <c r="E16" s="138"/>
      <c r="F16" s="138"/>
      <c r="G16" s="138"/>
      <c r="H16" s="139"/>
      <c r="I16" s="143" t="s">
        <v>95</v>
      </c>
      <c r="J16" s="85"/>
    </row>
    <row r="17" spans="2:10" ht="15.75" thickBot="1">
      <c r="B17" s="83"/>
      <c r="C17" s="136"/>
      <c r="D17" s="140"/>
      <c r="E17" s="141"/>
      <c r="F17" s="141"/>
      <c r="G17" s="141"/>
      <c r="H17" s="142"/>
      <c r="I17" s="144"/>
      <c r="J17" s="85"/>
    </row>
    <row r="18" spans="2:10" ht="15" customHeight="1">
      <c r="B18" s="83"/>
      <c r="C18" s="86"/>
      <c r="D18" s="86"/>
      <c r="E18" s="86"/>
      <c r="F18" s="86"/>
      <c r="G18" s="86"/>
      <c r="H18" s="86"/>
      <c r="I18" s="86"/>
      <c r="J18" s="85"/>
    </row>
    <row r="19" spans="2:10" ht="15.75" thickBot="1">
      <c r="B19" s="87"/>
      <c r="C19" s="88"/>
      <c r="D19" s="88"/>
      <c r="E19" s="88"/>
      <c r="F19" s="88"/>
      <c r="G19" s="88"/>
      <c r="H19" s="88"/>
      <c r="I19" s="88"/>
      <c r="J19" s="89"/>
    </row>
    <row r="20" spans="2:10" ht="15" customHeight="1">
      <c r="B20" s="90"/>
      <c r="C20" s="90"/>
      <c r="D20" s="90"/>
      <c r="E20" s="90"/>
      <c r="F20" s="90"/>
      <c r="G20" s="90"/>
      <c r="H20" s="90"/>
      <c r="I20" s="90"/>
      <c r="J20" s="90"/>
    </row>
    <row r="21" spans="2:10">
      <c r="B21" s="90"/>
      <c r="C21" s="90"/>
      <c r="D21" s="90"/>
      <c r="E21" s="90"/>
      <c r="F21" s="90"/>
      <c r="G21" s="90"/>
      <c r="H21" s="90"/>
      <c r="I21" s="90"/>
      <c r="J21" s="90"/>
    </row>
  </sheetData>
  <mergeCells count="15">
    <mergeCell ref="C4:I5"/>
    <mergeCell ref="C8:C9"/>
    <mergeCell ref="D8:I9"/>
    <mergeCell ref="C10:C11"/>
    <mergeCell ref="D10:H11"/>
    <mergeCell ref="I10:I11"/>
    <mergeCell ref="C16:C17"/>
    <mergeCell ref="D16:H17"/>
    <mergeCell ref="I16:I17"/>
    <mergeCell ref="C12:C13"/>
    <mergeCell ref="D12:H13"/>
    <mergeCell ref="I12:I13"/>
    <mergeCell ref="C14:C15"/>
    <mergeCell ref="D14:H15"/>
    <mergeCell ref="I14:I15"/>
  </mergeCells>
  <hyperlinks>
    <hyperlink ref="I10:I11" location="Coverage_Map!A1" display="Coverage Map '!A1"/>
    <hyperlink ref="I12:I13" location="RACM!A1" display="RACM'!A1"/>
    <hyperlink ref="I14:I15" location="'Internal Control Improvements'!A1" display="Internal Control Improvements '!A1"/>
    <hyperlink ref="I16:I17" location="Disclaimer!A1" display="Disclaimer'!A1"/>
  </hyperlinks>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28"/>
  <sheetViews>
    <sheetView workbookViewId="0"/>
  </sheetViews>
  <sheetFormatPr defaultRowHeight="15"/>
  <cols>
    <col min="1" max="1" width="18.7109375" bestFit="1" customWidth="1"/>
    <col min="2" max="2" width="14.7109375" bestFit="1" customWidth="1"/>
    <col min="3" max="3" width="39.85546875" bestFit="1" customWidth="1"/>
    <col min="4" max="4" width="19.85546875" bestFit="1" customWidth="1"/>
    <col min="5" max="5" width="19.85546875" customWidth="1"/>
    <col min="6" max="11" width="18" customWidth="1"/>
    <col min="12" max="12" width="0" hidden="1" customWidth="1"/>
    <col min="13" max="16" width="14.140625" customWidth="1"/>
  </cols>
  <sheetData>
    <row r="1" spans="1:16" ht="39" thickBot="1">
      <c r="A1" s="19"/>
      <c r="B1" s="20" t="s">
        <v>97</v>
      </c>
      <c r="C1" s="21" t="s">
        <v>98</v>
      </c>
      <c r="D1" s="22" t="s">
        <v>99</v>
      </c>
      <c r="E1" s="23" t="s">
        <v>100</v>
      </c>
      <c r="F1" s="24" t="s">
        <v>101</v>
      </c>
      <c r="G1" s="25" t="s">
        <v>102</v>
      </c>
      <c r="H1" s="26" t="s">
        <v>103</v>
      </c>
      <c r="I1" s="27"/>
      <c r="J1" s="28"/>
      <c r="K1" s="30"/>
      <c r="L1" s="29"/>
      <c r="M1" s="30"/>
      <c r="N1" s="30"/>
      <c r="O1" s="30"/>
      <c r="P1" s="30"/>
    </row>
    <row r="2" spans="1:16">
      <c r="A2" s="31"/>
      <c r="B2" s="32" t="s">
        <v>104</v>
      </c>
      <c r="C2" s="33">
        <v>1671.99</v>
      </c>
      <c r="D2" s="34">
        <v>0.01</v>
      </c>
      <c r="E2" s="35">
        <v>16.719899999999999</v>
      </c>
      <c r="F2" s="43">
        <v>16.719899999999999</v>
      </c>
      <c r="G2" s="36"/>
      <c r="H2" s="36"/>
      <c r="I2" s="38"/>
      <c r="J2" s="39"/>
      <c r="K2" s="37"/>
      <c r="L2" s="40"/>
      <c r="M2" s="37"/>
      <c r="N2" s="37"/>
      <c r="O2" s="37"/>
      <c r="P2" s="37"/>
    </row>
    <row r="3" spans="1:16">
      <c r="A3" s="31"/>
      <c r="B3" s="32" t="s">
        <v>134</v>
      </c>
      <c r="C3" s="33">
        <v>496.08</v>
      </c>
      <c r="D3" s="34">
        <v>0.05</v>
      </c>
      <c r="E3" s="35">
        <v>24.804000000000002</v>
      </c>
      <c r="F3" s="44"/>
      <c r="G3" s="36"/>
      <c r="H3" s="36"/>
      <c r="I3" s="39"/>
      <c r="J3" s="39"/>
      <c r="K3" s="37"/>
      <c r="L3" s="40"/>
      <c r="M3" s="37"/>
      <c r="N3" s="37"/>
      <c r="O3" s="37"/>
      <c r="P3" s="37"/>
    </row>
    <row r="4" spans="1:16">
      <c r="A4" s="31"/>
      <c r="B4" s="31"/>
      <c r="C4" s="37"/>
      <c r="D4" s="37"/>
      <c r="E4" s="37"/>
      <c r="F4" s="37"/>
      <c r="G4" s="37"/>
      <c r="H4" s="37"/>
      <c r="I4" s="37"/>
      <c r="J4" s="37"/>
      <c r="K4" s="37"/>
      <c r="L4" s="40"/>
      <c r="M4" s="37"/>
      <c r="N4" s="38"/>
      <c r="O4" s="38"/>
      <c r="P4" s="39"/>
    </row>
    <row r="5" spans="1:16" ht="48">
      <c r="A5" s="69" t="s">
        <v>105</v>
      </c>
      <c r="B5" s="69" t="s">
        <v>106</v>
      </c>
      <c r="C5" s="69" t="s">
        <v>107</v>
      </c>
      <c r="D5" s="91" t="s">
        <v>108</v>
      </c>
      <c r="E5" s="91" t="s">
        <v>135</v>
      </c>
      <c r="F5" s="91" t="s">
        <v>109</v>
      </c>
      <c r="G5" s="92" t="s">
        <v>110</v>
      </c>
      <c r="H5" s="92" t="s">
        <v>111</v>
      </c>
      <c r="I5" s="92" t="s">
        <v>112</v>
      </c>
      <c r="J5" s="92" t="s">
        <v>113</v>
      </c>
      <c r="K5" s="93" t="s">
        <v>114</v>
      </c>
      <c r="L5" s="41"/>
      <c r="M5" s="42"/>
      <c r="N5" s="42"/>
      <c r="O5" s="42"/>
      <c r="P5" s="42"/>
    </row>
    <row r="6" spans="1:16">
      <c r="A6" s="106" t="s">
        <v>17</v>
      </c>
      <c r="B6" s="108">
        <v>2904001</v>
      </c>
      <c r="C6" s="109" t="s">
        <v>42</v>
      </c>
      <c r="D6" s="110">
        <v>1979496367.04</v>
      </c>
      <c r="E6" s="110">
        <v>197.949636704</v>
      </c>
      <c r="F6" s="111" t="s">
        <v>116</v>
      </c>
      <c r="G6" s="111" t="s">
        <v>115</v>
      </c>
      <c r="H6" s="111" t="s">
        <v>115</v>
      </c>
      <c r="I6" s="111" t="s">
        <v>115</v>
      </c>
      <c r="J6" s="111" t="s">
        <v>115</v>
      </c>
      <c r="K6" s="112" t="s">
        <v>19</v>
      </c>
    </row>
    <row r="7" spans="1:16">
      <c r="A7" s="106" t="s">
        <v>17</v>
      </c>
      <c r="B7" s="108">
        <v>2904002</v>
      </c>
      <c r="C7" s="109" t="s">
        <v>136</v>
      </c>
      <c r="D7" s="110">
        <v>535214380.56999999</v>
      </c>
      <c r="E7" s="110">
        <v>53.521438056999997</v>
      </c>
      <c r="F7" s="111" t="s">
        <v>116</v>
      </c>
      <c r="G7" s="111" t="s">
        <v>115</v>
      </c>
      <c r="H7" s="111" t="s">
        <v>115</v>
      </c>
      <c r="I7" s="111" t="s">
        <v>115</v>
      </c>
      <c r="J7" s="111" t="s">
        <v>115</v>
      </c>
      <c r="K7" s="112" t="s">
        <v>19</v>
      </c>
    </row>
    <row r="8" spans="1:16">
      <c r="A8" s="106" t="s">
        <v>17</v>
      </c>
      <c r="B8" s="113">
        <v>3001004</v>
      </c>
      <c r="C8" s="114" t="s">
        <v>137</v>
      </c>
      <c r="D8" s="110">
        <v>1605832723</v>
      </c>
      <c r="E8" s="110">
        <v>160.5832723</v>
      </c>
      <c r="F8" s="111" t="s">
        <v>116</v>
      </c>
      <c r="G8" s="111" t="s">
        <v>115</v>
      </c>
      <c r="H8" s="111" t="s">
        <v>115</v>
      </c>
      <c r="I8" s="111" t="s">
        <v>115</v>
      </c>
      <c r="J8" s="111" t="s">
        <v>115</v>
      </c>
      <c r="K8" s="112" t="s">
        <v>19</v>
      </c>
    </row>
    <row r="9" spans="1:16">
      <c r="A9" s="106" t="s">
        <v>17</v>
      </c>
      <c r="B9" s="113">
        <v>3001016</v>
      </c>
      <c r="C9" s="109" t="s">
        <v>138</v>
      </c>
      <c r="D9" s="110">
        <v>366936670</v>
      </c>
      <c r="E9" s="110">
        <v>36.693666999999998</v>
      </c>
      <c r="F9" s="111" t="s">
        <v>116</v>
      </c>
      <c r="G9" s="111" t="s">
        <v>115</v>
      </c>
      <c r="H9" s="111" t="s">
        <v>115</v>
      </c>
      <c r="I9" s="111" t="s">
        <v>115</v>
      </c>
      <c r="J9" s="111" t="s">
        <v>115</v>
      </c>
      <c r="K9" s="112" t="s">
        <v>19</v>
      </c>
    </row>
    <row r="10" spans="1:16">
      <c r="A10" s="106" t="s">
        <v>17</v>
      </c>
      <c r="B10" s="113">
        <v>4101201</v>
      </c>
      <c r="C10" s="114" t="s">
        <v>139</v>
      </c>
      <c r="D10" s="110">
        <v>247948768</v>
      </c>
      <c r="E10" s="110">
        <v>24.794876800000001</v>
      </c>
      <c r="F10" s="111" t="s">
        <v>116</v>
      </c>
      <c r="G10" s="111" t="s">
        <v>115</v>
      </c>
      <c r="H10" s="111" t="s">
        <v>115</v>
      </c>
      <c r="I10" s="111" t="s">
        <v>115</v>
      </c>
      <c r="J10" s="111" t="s">
        <v>115</v>
      </c>
      <c r="K10" s="112" t="s">
        <v>19</v>
      </c>
    </row>
    <row r="11" spans="1:16">
      <c r="A11" s="106" t="s">
        <v>17</v>
      </c>
      <c r="B11" s="113">
        <v>4101203</v>
      </c>
      <c r="C11" s="114" t="s">
        <v>140</v>
      </c>
      <c r="D11" s="110">
        <v>3223013960</v>
      </c>
      <c r="E11" s="110">
        <v>322.30139600000001</v>
      </c>
      <c r="F11" s="111" t="s">
        <v>116</v>
      </c>
      <c r="G11" s="111" t="s">
        <v>115</v>
      </c>
      <c r="H11" s="111" t="s">
        <v>115</v>
      </c>
      <c r="I11" s="111" t="s">
        <v>115</v>
      </c>
      <c r="J11" s="111" t="s">
        <v>115</v>
      </c>
      <c r="K11" s="112" t="s">
        <v>19</v>
      </c>
    </row>
    <row r="12" spans="1:16">
      <c r="A12" s="106" t="s">
        <v>17</v>
      </c>
      <c r="B12" s="113">
        <v>4101204</v>
      </c>
      <c r="C12" s="114" t="s">
        <v>141</v>
      </c>
      <c r="D12" s="110">
        <v>38343401324.779999</v>
      </c>
      <c r="E12" s="110">
        <v>3834.3401324779998</v>
      </c>
      <c r="F12" s="111" t="s">
        <v>116</v>
      </c>
      <c r="G12" s="111" t="s">
        <v>115</v>
      </c>
      <c r="H12" s="111" t="s">
        <v>115</v>
      </c>
      <c r="I12" s="111" t="s">
        <v>115</v>
      </c>
      <c r="J12" s="111" t="s">
        <v>115</v>
      </c>
      <c r="K12" s="112" t="s">
        <v>19</v>
      </c>
    </row>
    <row r="13" spans="1:16">
      <c r="A13" s="106" t="s">
        <v>17</v>
      </c>
      <c r="B13" s="108">
        <v>4101208</v>
      </c>
      <c r="C13" s="109" t="s">
        <v>142</v>
      </c>
      <c r="D13" s="110">
        <v>2480206615</v>
      </c>
      <c r="E13" s="110">
        <v>248.02066149999999</v>
      </c>
      <c r="F13" s="111" t="s">
        <v>116</v>
      </c>
      <c r="G13" s="111" t="s">
        <v>115</v>
      </c>
      <c r="H13" s="111" t="s">
        <v>115</v>
      </c>
      <c r="I13" s="111" t="s">
        <v>115</v>
      </c>
      <c r="J13" s="111" t="s">
        <v>115</v>
      </c>
      <c r="K13" s="112" t="s">
        <v>19</v>
      </c>
    </row>
    <row r="14" spans="1:16">
      <c r="A14" s="106" t="s">
        <v>17</v>
      </c>
      <c r="B14" s="113">
        <v>4101212</v>
      </c>
      <c r="C14" s="114" t="s">
        <v>143</v>
      </c>
      <c r="D14" s="110">
        <v>1446176375</v>
      </c>
      <c r="E14" s="110">
        <v>144.6176375</v>
      </c>
      <c r="F14" s="111" t="s">
        <v>116</v>
      </c>
      <c r="G14" s="111" t="s">
        <v>115</v>
      </c>
      <c r="H14" s="111" t="s">
        <v>115</v>
      </c>
      <c r="I14" s="111" t="s">
        <v>115</v>
      </c>
      <c r="J14" s="111" t="s">
        <v>115</v>
      </c>
      <c r="K14" s="112" t="s">
        <v>19</v>
      </c>
    </row>
    <row r="15" spans="1:16">
      <c r="A15" s="106" t="s">
        <v>17</v>
      </c>
      <c r="B15" s="113">
        <v>4101214</v>
      </c>
      <c r="C15" s="114" t="s">
        <v>144</v>
      </c>
      <c r="D15" s="110">
        <v>965303396.14999998</v>
      </c>
      <c r="E15" s="110">
        <v>96.530339615000003</v>
      </c>
      <c r="F15" s="111" t="s">
        <v>116</v>
      </c>
      <c r="G15" s="111" t="s">
        <v>115</v>
      </c>
      <c r="H15" s="111" t="s">
        <v>115</v>
      </c>
      <c r="I15" s="111" t="s">
        <v>115</v>
      </c>
      <c r="J15" s="111" t="s">
        <v>115</v>
      </c>
      <c r="K15" s="112" t="s">
        <v>19</v>
      </c>
    </row>
    <row r="16" spans="1:16">
      <c r="A16" s="106" t="s">
        <v>17</v>
      </c>
      <c r="B16" s="113">
        <v>4101216</v>
      </c>
      <c r="C16" s="109" t="s">
        <v>145</v>
      </c>
      <c r="D16" s="110">
        <v>11237525067</v>
      </c>
      <c r="E16" s="110">
        <v>1123.7525066999999</v>
      </c>
      <c r="F16" s="111" t="s">
        <v>116</v>
      </c>
      <c r="G16" s="111" t="s">
        <v>115</v>
      </c>
      <c r="H16" s="111" t="s">
        <v>115</v>
      </c>
      <c r="I16" s="111" t="s">
        <v>115</v>
      </c>
      <c r="J16" s="111" t="s">
        <v>115</v>
      </c>
      <c r="K16" s="112" t="s">
        <v>19</v>
      </c>
    </row>
    <row r="17" spans="1:11">
      <c r="A17" s="106" t="s">
        <v>17</v>
      </c>
      <c r="B17" s="113">
        <v>4101228</v>
      </c>
      <c r="C17" s="109" t="s">
        <v>146</v>
      </c>
      <c r="D17" s="110">
        <v>1191688212</v>
      </c>
      <c r="E17" s="110">
        <v>119.1688212</v>
      </c>
      <c r="F17" s="111" t="s">
        <v>116</v>
      </c>
      <c r="G17" s="111" t="s">
        <v>115</v>
      </c>
      <c r="H17" s="111" t="s">
        <v>115</v>
      </c>
      <c r="I17" s="111" t="s">
        <v>115</v>
      </c>
      <c r="J17" s="111" t="s">
        <v>115</v>
      </c>
      <c r="K17" s="112" t="s">
        <v>19</v>
      </c>
    </row>
    <row r="18" spans="1:11">
      <c r="A18" s="106" t="s">
        <v>17</v>
      </c>
      <c r="B18" s="113">
        <v>4101253</v>
      </c>
      <c r="C18" s="114" t="s">
        <v>147</v>
      </c>
      <c r="D18" s="110">
        <v>255807362</v>
      </c>
      <c r="E18" s="110">
        <v>25.5807362</v>
      </c>
      <c r="F18" s="111" t="s">
        <v>116</v>
      </c>
      <c r="G18" s="111" t="s">
        <v>115</v>
      </c>
      <c r="H18" s="111" t="s">
        <v>115</v>
      </c>
      <c r="I18" s="111" t="s">
        <v>115</v>
      </c>
      <c r="J18" s="111" t="s">
        <v>115</v>
      </c>
      <c r="K18" s="112" t="s">
        <v>19</v>
      </c>
    </row>
    <row r="19" spans="1:11">
      <c r="A19" s="106" t="s">
        <v>17</v>
      </c>
      <c r="B19" s="113">
        <v>4101254</v>
      </c>
      <c r="C19" s="114" t="s">
        <v>148</v>
      </c>
      <c r="D19" s="110">
        <v>11324313371.540001</v>
      </c>
      <c r="E19" s="110">
        <v>1132.4313371540002</v>
      </c>
      <c r="F19" s="111" t="s">
        <v>116</v>
      </c>
      <c r="G19" s="111" t="s">
        <v>115</v>
      </c>
      <c r="H19" s="111" t="s">
        <v>115</v>
      </c>
      <c r="I19" s="111" t="s">
        <v>115</v>
      </c>
      <c r="J19" s="111" t="s">
        <v>115</v>
      </c>
      <c r="K19" s="112" t="s">
        <v>19</v>
      </c>
    </row>
    <row r="20" spans="1:11">
      <c r="A20" s="107" t="s">
        <v>17</v>
      </c>
      <c r="B20" s="113">
        <v>1204001</v>
      </c>
      <c r="C20" s="114" t="s">
        <v>149</v>
      </c>
      <c r="D20" s="110">
        <v>4901651.47</v>
      </c>
      <c r="E20" s="110">
        <v>0.49016514699999997</v>
      </c>
      <c r="F20" s="111" t="s">
        <v>115</v>
      </c>
      <c r="G20" s="111" t="s">
        <v>115</v>
      </c>
      <c r="H20" s="111" t="s">
        <v>115</v>
      </c>
      <c r="I20" s="111" t="s">
        <v>116</v>
      </c>
      <c r="J20" s="111" t="s">
        <v>115</v>
      </c>
      <c r="K20" s="112" t="s">
        <v>19</v>
      </c>
    </row>
    <row r="21" spans="1:11">
      <c r="A21" s="106" t="s">
        <v>17</v>
      </c>
      <c r="B21" s="113">
        <v>4101266</v>
      </c>
      <c r="C21" s="109" t="s">
        <v>150</v>
      </c>
      <c r="D21" s="110">
        <v>530480717</v>
      </c>
      <c r="E21" s="110">
        <v>53.048071700000001</v>
      </c>
      <c r="F21" s="111" t="s">
        <v>116</v>
      </c>
      <c r="G21" s="111" t="s">
        <v>116</v>
      </c>
      <c r="H21" s="111" t="s">
        <v>115</v>
      </c>
      <c r="I21" s="111" t="s">
        <v>115</v>
      </c>
      <c r="J21" s="111" t="s">
        <v>115</v>
      </c>
      <c r="K21" s="112" t="s">
        <v>19</v>
      </c>
    </row>
    <row r="22" spans="1:11">
      <c r="A22" s="106" t="s">
        <v>17</v>
      </c>
      <c r="B22" s="113">
        <v>4102204</v>
      </c>
      <c r="C22" s="114" t="s">
        <v>151</v>
      </c>
      <c r="D22" s="110">
        <v>540176887</v>
      </c>
      <c r="E22" s="110">
        <v>54.017688700000001</v>
      </c>
      <c r="F22" s="111" t="s">
        <v>116</v>
      </c>
      <c r="G22" s="111" t="s">
        <v>115</v>
      </c>
      <c r="H22" s="111" t="s">
        <v>115</v>
      </c>
      <c r="I22" s="111" t="s">
        <v>115</v>
      </c>
      <c r="J22" s="111" t="s">
        <v>115</v>
      </c>
      <c r="K22" s="112" t="s">
        <v>19</v>
      </c>
    </row>
    <row r="23" spans="1:11">
      <c r="A23" s="106" t="s">
        <v>17</v>
      </c>
      <c r="B23" s="113">
        <v>4102254</v>
      </c>
      <c r="C23" s="114" t="s">
        <v>152</v>
      </c>
      <c r="D23" s="110">
        <v>1605832723</v>
      </c>
      <c r="E23" s="110">
        <v>160.5832723</v>
      </c>
      <c r="F23" s="111" t="s">
        <v>116</v>
      </c>
      <c r="G23" s="111" t="s">
        <v>115</v>
      </c>
      <c r="H23" s="111" t="s">
        <v>115</v>
      </c>
      <c r="I23" s="111" t="s">
        <v>115</v>
      </c>
      <c r="J23" s="111" t="s">
        <v>115</v>
      </c>
      <c r="K23" s="112" t="s">
        <v>19</v>
      </c>
    </row>
    <row r="24" spans="1:11">
      <c r="A24" s="106" t="s">
        <v>17</v>
      </c>
      <c r="B24" s="113">
        <v>4102266</v>
      </c>
      <c r="C24" s="109" t="s">
        <v>153</v>
      </c>
      <c r="D24" s="110">
        <v>366936670</v>
      </c>
      <c r="E24" s="110">
        <v>36.693666999999998</v>
      </c>
      <c r="F24" s="111" t="s">
        <v>116</v>
      </c>
      <c r="G24" s="111" t="s">
        <v>115</v>
      </c>
      <c r="H24" s="111" t="s">
        <v>115</v>
      </c>
      <c r="I24" s="111" t="s">
        <v>115</v>
      </c>
      <c r="J24" s="111" t="s">
        <v>115</v>
      </c>
      <c r="K24" s="112" t="s">
        <v>19</v>
      </c>
    </row>
    <row r="25" spans="1:11">
      <c r="A25" s="106" t="s">
        <v>17</v>
      </c>
      <c r="B25" s="113">
        <v>4103012</v>
      </c>
      <c r="C25" s="114" t="s">
        <v>154</v>
      </c>
      <c r="D25" s="110">
        <v>7770538047.4200001</v>
      </c>
      <c r="E25" s="110">
        <v>777.05380474200001</v>
      </c>
      <c r="F25" s="111" t="s">
        <v>116</v>
      </c>
      <c r="G25" s="111" t="s">
        <v>115</v>
      </c>
      <c r="H25" s="111" t="s">
        <v>115</v>
      </c>
      <c r="I25" s="111" t="s">
        <v>115</v>
      </c>
      <c r="J25" s="111" t="s">
        <v>115</v>
      </c>
      <c r="K25" s="112" t="s">
        <v>19</v>
      </c>
    </row>
    <row r="26" spans="1:11">
      <c r="A26" s="107" t="s">
        <v>17</v>
      </c>
      <c r="B26" s="113">
        <v>4103201</v>
      </c>
      <c r="C26" s="114" t="s">
        <v>155</v>
      </c>
      <c r="D26" s="110">
        <v>469019872.42000002</v>
      </c>
      <c r="E26" s="110">
        <v>46.901987242000004</v>
      </c>
      <c r="F26" s="111" t="s">
        <v>116</v>
      </c>
      <c r="G26" s="111" t="s">
        <v>115</v>
      </c>
      <c r="H26" s="111" t="s">
        <v>115</v>
      </c>
      <c r="I26" s="111" t="s">
        <v>115</v>
      </c>
      <c r="J26" s="111" t="s">
        <v>115</v>
      </c>
      <c r="K26" s="112" t="s">
        <v>19</v>
      </c>
    </row>
    <row r="27" spans="1:11">
      <c r="A27" s="106" t="s">
        <v>17</v>
      </c>
      <c r="B27" s="113">
        <v>3001103</v>
      </c>
      <c r="C27" s="114" t="s">
        <v>156</v>
      </c>
      <c r="D27" s="110">
        <v>11535262</v>
      </c>
      <c r="E27" s="110">
        <v>1.1535261999999999</v>
      </c>
      <c r="F27" s="111" t="s">
        <v>115</v>
      </c>
      <c r="G27" s="111" t="s">
        <v>115</v>
      </c>
      <c r="H27" s="111" t="s">
        <v>116</v>
      </c>
      <c r="I27" s="111" t="s">
        <v>115</v>
      </c>
      <c r="J27" s="111" t="s">
        <v>115</v>
      </c>
      <c r="K27" s="112" t="s">
        <v>19</v>
      </c>
    </row>
    <row r="28" spans="1:11">
      <c r="A28" s="106" t="s">
        <v>17</v>
      </c>
      <c r="B28" s="113">
        <v>4103301</v>
      </c>
      <c r="C28" s="114" t="s">
        <v>157</v>
      </c>
      <c r="D28" s="110">
        <v>4073924156.0999999</v>
      </c>
      <c r="E28" s="110">
        <v>407.39241561</v>
      </c>
      <c r="F28" s="111" t="s">
        <v>116</v>
      </c>
      <c r="G28" s="111" t="s">
        <v>115</v>
      </c>
      <c r="H28" s="111" t="s">
        <v>115</v>
      </c>
      <c r="I28" s="111" t="s">
        <v>115</v>
      </c>
      <c r="J28" s="111" t="s">
        <v>115</v>
      </c>
      <c r="K28" s="112" t="s">
        <v>19</v>
      </c>
    </row>
  </sheetData>
  <autoFilter ref="A5:K28"/>
  <conditionalFormatting sqref="F6:J28">
    <cfRule type="cellIs" dxfId="9" priority="5" operator="equal">
      <formula>"Y"</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X31"/>
  <sheetViews>
    <sheetView showGridLines="0" zoomScaleNormal="100" workbookViewId="0">
      <pane ySplit="6" topLeftCell="A23" activePane="bottomLeft" state="frozen"/>
      <selection pane="bottomLeft" sqref="A1:D1"/>
    </sheetView>
  </sheetViews>
  <sheetFormatPr defaultRowHeight="12"/>
  <cols>
    <col min="1" max="1" width="12.28515625" style="1" bestFit="1" customWidth="1"/>
    <col min="2" max="2" width="16.7109375" style="2" customWidth="1"/>
    <col min="3" max="3" width="8.42578125" style="3" customWidth="1"/>
    <col min="4" max="4" width="31.85546875" style="4" customWidth="1"/>
    <col min="5" max="5" width="11.7109375" style="1" customWidth="1"/>
    <col min="6" max="6" width="70.7109375" style="5" customWidth="1"/>
    <col min="7" max="7" width="16.28515625" style="4" bestFit="1" customWidth="1"/>
    <col min="8" max="8" width="14.42578125" style="4" customWidth="1"/>
    <col min="9" max="9" width="13.42578125" style="4" customWidth="1"/>
    <col min="10" max="10" width="11.140625" style="6" customWidth="1"/>
    <col min="11" max="11" width="12.7109375" style="6" customWidth="1"/>
    <col min="12" max="12" width="11.140625" style="6" customWidth="1"/>
    <col min="13" max="13" width="11" style="6" customWidth="1"/>
    <col min="14" max="14" width="12.7109375" style="6" customWidth="1"/>
    <col min="15" max="15" width="29.7109375" style="117" customWidth="1"/>
    <col min="16" max="16" width="20" style="6" customWidth="1"/>
    <col min="17" max="17" width="12.5703125" style="6" customWidth="1"/>
    <col min="18" max="18" width="14.5703125" style="6" customWidth="1"/>
    <col min="19" max="19" width="16.140625" style="6" customWidth="1"/>
    <col min="20" max="20" width="13.140625" style="6" customWidth="1"/>
    <col min="21" max="21" width="14.28515625" style="6" customWidth="1"/>
    <col min="22" max="22" width="37" style="4" customWidth="1"/>
    <col min="23" max="23" width="15.42578125" style="4" customWidth="1"/>
    <col min="24" max="24" width="16.7109375" style="1" customWidth="1"/>
    <col min="25" max="16384" width="9.140625" style="1"/>
  </cols>
  <sheetData>
    <row r="1" spans="1:24" ht="14.25">
      <c r="A1" s="165" t="s">
        <v>123</v>
      </c>
      <c r="B1" s="165"/>
      <c r="C1" s="165"/>
      <c r="D1" s="165"/>
    </row>
    <row r="2" spans="1:24" ht="14.25">
      <c r="A2" s="94" t="s">
        <v>69</v>
      </c>
      <c r="B2" s="8" t="s">
        <v>125</v>
      </c>
      <c r="C2" s="95"/>
      <c r="D2" s="95"/>
      <c r="I2" s="1"/>
      <c r="J2" s="1"/>
    </row>
    <row r="3" spans="1:24" ht="14.25">
      <c r="A3" s="94" t="s">
        <v>25</v>
      </c>
      <c r="B3" s="8" t="s">
        <v>131</v>
      </c>
      <c r="C3" s="95"/>
      <c r="D3" s="95"/>
      <c r="I3" s="1"/>
      <c r="J3" s="1"/>
    </row>
    <row r="4" spans="1:24" ht="14.25">
      <c r="A4" s="96" t="s">
        <v>26</v>
      </c>
      <c r="B4" s="11" t="s">
        <v>55</v>
      </c>
      <c r="C4" s="95"/>
      <c r="D4" s="95"/>
      <c r="I4" s="1"/>
      <c r="J4" s="1"/>
    </row>
    <row r="5" spans="1:24" ht="15" customHeight="1">
      <c r="A5" s="119"/>
      <c r="B5" s="119"/>
      <c r="C5" s="119"/>
      <c r="D5" s="119"/>
      <c r="E5" s="119"/>
      <c r="F5" s="119"/>
      <c r="G5" s="119"/>
      <c r="H5" s="70"/>
      <c r="I5" s="70"/>
      <c r="J5" s="164" t="s">
        <v>30</v>
      </c>
      <c r="K5" s="164"/>
      <c r="L5" s="164"/>
      <c r="M5" s="164"/>
      <c r="N5" s="164"/>
      <c r="O5" s="119"/>
      <c r="P5" s="164" t="s">
        <v>31</v>
      </c>
      <c r="Q5" s="164"/>
      <c r="R5" s="164"/>
      <c r="S5" s="164"/>
      <c r="T5" s="164"/>
      <c r="U5" s="164"/>
      <c r="V5" s="164" t="s">
        <v>32</v>
      </c>
      <c r="W5" s="164"/>
      <c r="X5" s="100" t="s">
        <v>33</v>
      </c>
    </row>
    <row r="6" spans="1:24" ht="48">
      <c r="A6" s="119" t="s">
        <v>0</v>
      </c>
      <c r="B6" s="119" t="s">
        <v>1</v>
      </c>
      <c r="C6" s="119" t="s">
        <v>2</v>
      </c>
      <c r="D6" s="119" t="s">
        <v>27</v>
      </c>
      <c r="E6" s="119" t="s">
        <v>3</v>
      </c>
      <c r="F6" s="119" t="s">
        <v>4</v>
      </c>
      <c r="G6" s="119" t="s">
        <v>5</v>
      </c>
      <c r="H6" s="100" t="s">
        <v>6</v>
      </c>
      <c r="I6" s="100" t="s">
        <v>28</v>
      </c>
      <c r="J6" s="100" t="s">
        <v>7</v>
      </c>
      <c r="K6" s="100" t="s">
        <v>8</v>
      </c>
      <c r="L6" s="100" t="s">
        <v>9</v>
      </c>
      <c r="M6" s="100" t="s">
        <v>10</v>
      </c>
      <c r="N6" s="100" t="s">
        <v>11</v>
      </c>
      <c r="O6" s="119" t="s">
        <v>12</v>
      </c>
      <c r="P6" s="100" t="s">
        <v>63</v>
      </c>
      <c r="Q6" s="100" t="s">
        <v>13</v>
      </c>
      <c r="R6" s="100" t="s">
        <v>64</v>
      </c>
      <c r="S6" s="100" t="s">
        <v>14</v>
      </c>
      <c r="T6" s="100" t="s">
        <v>65</v>
      </c>
      <c r="U6" s="100" t="s">
        <v>66</v>
      </c>
      <c r="V6" s="100" t="s">
        <v>15</v>
      </c>
      <c r="W6" s="100" t="s">
        <v>16</v>
      </c>
      <c r="X6" s="100" t="s">
        <v>29</v>
      </c>
    </row>
    <row r="7" spans="1:24" s="103" customFormat="1" ht="24" customHeight="1">
      <c r="A7" s="63" t="s">
        <v>17</v>
      </c>
      <c r="B7" s="63" t="s">
        <v>183</v>
      </c>
      <c r="C7" s="50" t="s">
        <v>21</v>
      </c>
      <c r="D7" s="65" t="s">
        <v>239</v>
      </c>
      <c r="E7" s="50" t="s">
        <v>205</v>
      </c>
      <c r="F7" s="65" t="s">
        <v>230</v>
      </c>
      <c r="G7" s="50" t="s">
        <v>39</v>
      </c>
      <c r="H7" s="50" t="s">
        <v>22</v>
      </c>
      <c r="I7" s="50" t="s">
        <v>22</v>
      </c>
      <c r="J7" s="115" t="s">
        <v>34</v>
      </c>
      <c r="K7" s="67"/>
      <c r="L7" s="67"/>
      <c r="M7" s="67"/>
      <c r="N7" s="67"/>
      <c r="O7" s="115" t="s">
        <v>185</v>
      </c>
      <c r="P7" s="115" t="s">
        <v>228</v>
      </c>
      <c r="Q7" s="115" t="s">
        <v>35</v>
      </c>
      <c r="R7" s="67" t="s">
        <v>182</v>
      </c>
      <c r="S7" s="115" t="s">
        <v>37</v>
      </c>
      <c r="T7" s="115" t="s">
        <v>20</v>
      </c>
      <c r="U7" s="115" t="s">
        <v>22</v>
      </c>
      <c r="V7" s="63"/>
      <c r="W7" s="45"/>
      <c r="X7" s="45"/>
    </row>
    <row r="8" spans="1:24" s="103" customFormat="1" ht="24" customHeight="1">
      <c r="A8" s="63" t="s">
        <v>17</v>
      </c>
      <c r="B8" s="63" t="s">
        <v>183</v>
      </c>
      <c r="C8" s="50" t="s">
        <v>21</v>
      </c>
      <c r="D8" s="65" t="s">
        <v>239</v>
      </c>
      <c r="E8" s="50" t="s">
        <v>204</v>
      </c>
      <c r="F8" s="65" t="s">
        <v>229</v>
      </c>
      <c r="G8" s="50" t="s">
        <v>39</v>
      </c>
      <c r="H8" s="50" t="s">
        <v>22</v>
      </c>
      <c r="I8" s="50" t="s">
        <v>22</v>
      </c>
      <c r="J8" s="115" t="s">
        <v>34</v>
      </c>
      <c r="K8" s="67"/>
      <c r="L8" s="67"/>
      <c r="M8" s="67"/>
      <c r="N8" s="67"/>
      <c r="O8" s="115" t="s">
        <v>184</v>
      </c>
      <c r="P8" s="115" t="s">
        <v>228</v>
      </c>
      <c r="Q8" s="115" t="s">
        <v>35</v>
      </c>
      <c r="R8" s="67" t="s">
        <v>36</v>
      </c>
      <c r="S8" s="115" t="s">
        <v>37</v>
      </c>
      <c r="T8" s="115" t="s">
        <v>20</v>
      </c>
      <c r="U8" s="115" t="s">
        <v>22</v>
      </c>
      <c r="V8" s="63"/>
      <c r="W8" s="45"/>
      <c r="X8" s="45"/>
    </row>
    <row r="9" spans="1:24" s="103" customFormat="1" ht="35.25" customHeight="1">
      <c r="A9" s="63" t="s">
        <v>17</v>
      </c>
      <c r="B9" s="63" t="s">
        <v>183</v>
      </c>
      <c r="C9" s="50" t="s">
        <v>21</v>
      </c>
      <c r="D9" s="65" t="s">
        <v>239</v>
      </c>
      <c r="E9" s="50" t="s">
        <v>206</v>
      </c>
      <c r="F9" s="65" t="s">
        <v>186</v>
      </c>
      <c r="G9" s="50" t="s">
        <v>39</v>
      </c>
      <c r="H9" s="50" t="s">
        <v>22</v>
      </c>
      <c r="I9" s="50" t="s">
        <v>22</v>
      </c>
      <c r="J9" s="115" t="s">
        <v>34</v>
      </c>
      <c r="K9" s="67"/>
      <c r="L9" s="67"/>
      <c r="M9" s="67"/>
      <c r="N9" s="67"/>
      <c r="O9" s="115" t="s">
        <v>187</v>
      </c>
      <c r="P9" s="115" t="s">
        <v>228</v>
      </c>
      <c r="Q9" s="115" t="s">
        <v>35</v>
      </c>
      <c r="R9" s="67" t="s">
        <v>36</v>
      </c>
      <c r="S9" s="115" t="s">
        <v>37</v>
      </c>
      <c r="T9" s="115" t="s">
        <v>20</v>
      </c>
      <c r="U9" s="115" t="s">
        <v>22</v>
      </c>
      <c r="V9" s="63"/>
      <c r="W9" s="45"/>
      <c r="X9" s="45"/>
    </row>
    <row r="10" spans="1:24" s="103" customFormat="1" ht="43.5" customHeight="1">
      <c r="A10" s="63" t="s">
        <v>17</v>
      </c>
      <c r="B10" s="63" t="s">
        <v>188</v>
      </c>
      <c r="C10" s="50" t="s">
        <v>21</v>
      </c>
      <c r="D10" s="65" t="s">
        <v>189</v>
      </c>
      <c r="E10" s="50" t="s">
        <v>207</v>
      </c>
      <c r="F10" s="65" t="s">
        <v>190</v>
      </c>
      <c r="G10" s="50" t="s">
        <v>39</v>
      </c>
      <c r="H10" s="50" t="s">
        <v>19</v>
      </c>
      <c r="I10" s="50" t="s">
        <v>22</v>
      </c>
      <c r="J10" s="115" t="s">
        <v>191</v>
      </c>
      <c r="K10" s="67" t="s">
        <v>191</v>
      </c>
      <c r="L10" s="67"/>
      <c r="M10" s="67" t="s">
        <v>191</v>
      </c>
      <c r="N10" s="67"/>
      <c r="O10" s="115" t="s">
        <v>192</v>
      </c>
      <c r="P10" s="115" t="s">
        <v>228</v>
      </c>
      <c r="Q10" s="115" t="s">
        <v>35</v>
      </c>
      <c r="R10" s="67" t="s">
        <v>36</v>
      </c>
      <c r="S10" s="115" t="s">
        <v>193</v>
      </c>
      <c r="T10" s="115" t="s">
        <v>20</v>
      </c>
      <c r="U10" s="67" t="s">
        <v>22</v>
      </c>
      <c r="V10" s="64"/>
      <c r="W10" s="45"/>
      <c r="X10" s="45"/>
    </row>
    <row r="11" spans="1:24" s="103" customFormat="1" ht="42.75" customHeight="1">
      <c r="A11" s="63" t="s">
        <v>17</v>
      </c>
      <c r="B11" s="63" t="s">
        <v>194</v>
      </c>
      <c r="C11" s="50" t="s">
        <v>21</v>
      </c>
      <c r="D11" s="65" t="s">
        <v>240</v>
      </c>
      <c r="E11" s="50" t="s">
        <v>208</v>
      </c>
      <c r="F11" s="65" t="s">
        <v>195</v>
      </c>
      <c r="G11" s="50" t="s">
        <v>39</v>
      </c>
      <c r="H11" s="50" t="s">
        <v>19</v>
      </c>
      <c r="I11" s="50" t="s">
        <v>22</v>
      </c>
      <c r="J11" s="115" t="s">
        <v>191</v>
      </c>
      <c r="K11" s="67" t="s">
        <v>191</v>
      </c>
      <c r="L11" s="67"/>
      <c r="M11" s="67" t="s">
        <v>191</v>
      </c>
      <c r="N11" s="67"/>
      <c r="O11" s="115" t="s">
        <v>196</v>
      </c>
      <c r="P11" s="115" t="s">
        <v>197</v>
      </c>
      <c r="Q11" s="115" t="s">
        <v>35</v>
      </c>
      <c r="R11" s="115" t="s">
        <v>36</v>
      </c>
      <c r="S11" s="115" t="s">
        <v>193</v>
      </c>
      <c r="T11" s="116" t="s">
        <v>20</v>
      </c>
      <c r="U11" s="67" t="s">
        <v>22</v>
      </c>
      <c r="V11" s="64"/>
      <c r="W11" s="45"/>
      <c r="X11" s="45"/>
    </row>
    <row r="12" spans="1:24" s="103" customFormat="1" ht="60">
      <c r="A12" s="63" t="s">
        <v>17</v>
      </c>
      <c r="B12" s="47" t="s">
        <v>38</v>
      </c>
      <c r="C12" s="98" t="s">
        <v>46</v>
      </c>
      <c r="D12" s="60" t="s">
        <v>158</v>
      </c>
      <c r="E12" s="50" t="s">
        <v>209</v>
      </c>
      <c r="F12" s="65" t="s">
        <v>176</v>
      </c>
      <c r="G12" s="63" t="s">
        <v>39</v>
      </c>
      <c r="H12" s="45" t="s">
        <v>22</v>
      </c>
      <c r="I12" s="45" t="s">
        <v>19</v>
      </c>
      <c r="J12" s="67" t="s">
        <v>34</v>
      </c>
      <c r="K12" s="67"/>
      <c r="L12" s="67" t="s">
        <v>34</v>
      </c>
      <c r="M12" s="67" t="s">
        <v>34</v>
      </c>
      <c r="N12" s="67"/>
      <c r="O12" s="66" t="s">
        <v>56</v>
      </c>
      <c r="P12" s="66" t="s">
        <v>117</v>
      </c>
      <c r="Q12" s="67" t="s">
        <v>35</v>
      </c>
      <c r="R12" s="67" t="s">
        <v>36</v>
      </c>
      <c r="S12" s="115" t="s">
        <v>193</v>
      </c>
      <c r="T12" s="67" t="s">
        <v>20</v>
      </c>
      <c r="U12" s="67" t="s">
        <v>19</v>
      </c>
      <c r="V12" s="64"/>
      <c r="W12" s="45"/>
      <c r="X12" s="45"/>
    </row>
    <row r="13" spans="1:24" s="103" customFormat="1" ht="69.75" customHeight="1">
      <c r="A13" s="63" t="s">
        <v>17</v>
      </c>
      <c r="B13" s="47" t="s">
        <v>38</v>
      </c>
      <c r="C13" s="98" t="s">
        <v>46</v>
      </c>
      <c r="D13" s="60" t="s">
        <v>177</v>
      </c>
      <c r="E13" s="50" t="s">
        <v>210</v>
      </c>
      <c r="F13" s="65" t="s">
        <v>235</v>
      </c>
      <c r="G13" s="63" t="s">
        <v>39</v>
      </c>
      <c r="H13" s="45" t="s">
        <v>22</v>
      </c>
      <c r="I13" s="45" t="s">
        <v>19</v>
      </c>
      <c r="J13" s="67"/>
      <c r="K13" s="67"/>
      <c r="L13" s="67" t="s">
        <v>34</v>
      </c>
      <c r="M13" s="67"/>
      <c r="N13" s="67"/>
      <c r="O13" s="66" t="s">
        <v>57</v>
      </c>
      <c r="P13" s="66" t="s">
        <v>117</v>
      </c>
      <c r="Q13" s="67" t="s">
        <v>35</v>
      </c>
      <c r="R13" s="67" t="s">
        <v>36</v>
      </c>
      <c r="S13" s="115" t="s">
        <v>193</v>
      </c>
      <c r="T13" s="67" t="s">
        <v>20</v>
      </c>
      <c r="U13" s="67" t="s">
        <v>19</v>
      </c>
      <c r="V13" s="64"/>
      <c r="W13" s="45"/>
      <c r="X13" s="45"/>
    </row>
    <row r="14" spans="1:24" s="103" customFormat="1" ht="108">
      <c r="A14" s="63" t="s">
        <v>17</v>
      </c>
      <c r="B14" s="47" t="s">
        <v>38</v>
      </c>
      <c r="C14" s="97" t="s">
        <v>62</v>
      </c>
      <c r="D14" s="60" t="s">
        <v>41</v>
      </c>
      <c r="E14" s="50" t="s">
        <v>211</v>
      </c>
      <c r="F14" s="65" t="s">
        <v>124</v>
      </c>
      <c r="G14" s="63" t="s">
        <v>39</v>
      </c>
      <c r="H14" s="45" t="s">
        <v>19</v>
      </c>
      <c r="I14" s="45" t="s">
        <v>19</v>
      </c>
      <c r="J14" s="67"/>
      <c r="K14" s="67" t="s">
        <v>34</v>
      </c>
      <c r="L14" s="67"/>
      <c r="M14" s="67"/>
      <c r="N14" s="67" t="s">
        <v>34</v>
      </c>
      <c r="O14" s="66" t="s">
        <v>161</v>
      </c>
      <c r="P14" s="66" t="s">
        <v>117</v>
      </c>
      <c r="Q14" s="67" t="s">
        <v>47</v>
      </c>
      <c r="R14" s="67" t="s">
        <v>36</v>
      </c>
      <c r="S14" s="115" t="s">
        <v>193</v>
      </c>
      <c r="T14" s="67" t="s">
        <v>20</v>
      </c>
      <c r="U14" s="67" t="s">
        <v>19</v>
      </c>
      <c r="V14" s="64"/>
      <c r="W14" s="45"/>
      <c r="X14" s="45"/>
    </row>
    <row r="15" spans="1:24" s="104" customFormat="1" ht="60" customHeight="1">
      <c r="A15" s="63" t="s">
        <v>17</v>
      </c>
      <c r="B15" s="63" t="s">
        <v>38</v>
      </c>
      <c r="C15" s="97" t="s">
        <v>62</v>
      </c>
      <c r="D15" s="61" t="s">
        <v>159</v>
      </c>
      <c r="E15" s="50" t="s">
        <v>212</v>
      </c>
      <c r="F15" s="65" t="s">
        <v>234</v>
      </c>
      <c r="G15" s="63" t="s">
        <v>39</v>
      </c>
      <c r="H15" s="64" t="s">
        <v>19</v>
      </c>
      <c r="I15" s="64" t="s">
        <v>22</v>
      </c>
      <c r="J15" s="67"/>
      <c r="K15" s="67"/>
      <c r="L15" s="67" t="s">
        <v>34</v>
      </c>
      <c r="M15" s="67"/>
      <c r="N15" s="67"/>
      <c r="O15" s="66" t="s">
        <v>160</v>
      </c>
      <c r="P15" s="66" t="s">
        <v>117</v>
      </c>
      <c r="Q15" s="67" t="s">
        <v>35</v>
      </c>
      <c r="R15" s="67" t="s">
        <v>36</v>
      </c>
      <c r="S15" s="115" t="s">
        <v>193</v>
      </c>
      <c r="T15" s="67" t="s">
        <v>20</v>
      </c>
      <c r="U15" s="67" t="s">
        <v>22</v>
      </c>
      <c r="V15" s="64"/>
      <c r="W15" s="64"/>
      <c r="X15" s="64"/>
    </row>
    <row r="16" spans="1:24" s="104" customFormat="1" ht="60">
      <c r="A16" s="63" t="s">
        <v>17</v>
      </c>
      <c r="B16" s="63" t="s">
        <v>48</v>
      </c>
      <c r="C16" s="98" t="s">
        <v>46</v>
      </c>
      <c r="D16" s="51" t="s">
        <v>167</v>
      </c>
      <c r="E16" s="50" t="s">
        <v>213</v>
      </c>
      <c r="F16" s="65" t="s">
        <v>198</v>
      </c>
      <c r="G16" s="63" t="s">
        <v>39</v>
      </c>
      <c r="H16" s="64" t="s">
        <v>19</v>
      </c>
      <c r="I16" s="64" t="s">
        <v>22</v>
      </c>
      <c r="J16" s="67" t="s">
        <v>34</v>
      </c>
      <c r="K16" s="67" t="s">
        <v>34</v>
      </c>
      <c r="L16" s="67"/>
      <c r="M16" s="67" t="s">
        <v>34</v>
      </c>
      <c r="N16" s="67"/>
      <c r="O16" s="66" t="s">
        <v>180</v>
      </c>
      <c r="P16" s="66" t="s">
        <v>117</v>
      </c>
      <c r="Q16" s="67" t="s">
        <v>24</v>
      </c>
      <c r="R16" s="67" t="s">
        <v>36</v>
      </c>
      <c r="S16" s="67" t="s">
        <v>37</v>
      </c>
      <c r="T16" s="67" t="s">
        <v>20</v>
      </c>
      <c r="U16" s="67" t="s">
        <v>19</v>
      </c>
      <c r="V16" s="63"/>
      <c r="W16" s="64"/>
      <c r="X16" s="64"/>
    </row>
    <row r="17" spans="1:24" s="104" customFormat="1" ht="36" customHeight="1">
      <c r="A17" s="63" t="s">
        <v>17</v>
      </c>
      <c r="B17" s="63" t="s">
        <v>48</v>
      </c>
      <c r="C17" s="99" t="s">
        <v>61</v>
      </c>
      <c r="D17" s="56" t="s">
        <v>53</v>
      </c>
      <c r="E17" s="50" t="s">
        <v>214</v>
      </c>
      <c r="F17" s="65" t="s">
        <v>178</v>
      </c>
      <c r="G17" s="63" t="s">
        <v>39</v>
      </c>
      <c r="H17" s="64" t="s">
        <v>19</v>
      </c>
      <c r="I17" s="63" t="s">
        <v>22</v>
      </c>
      <c r="J17" s="67" t="s">
        <v>34</v>
      </c>
      <c r="K17" s="67"/>
      <c r="L17" s="67" t="s">
        <v>34</v>
      </c>
      <c r="M17" s="67"/>
      <c r="N17" s="67"/>
      <c r="O17" s="66" t="s">
        <v>166</v>
      </c>
      <c r="P17" s="66" t="s">
        <v>117</v>
      </c>
      <c r="Q17" s="67" t="s">
        <v>35</v>
      </c>
      <c r="R17" s="67" t="s">
        <v>36</v>
      </c>
      <c r="S17" s="67" t="s">
        <v>37</v>
      </c>
      <c r="T17" s="67" t="s">
        <v>23</v>
      </c>
      <c r="U17" s="66" t="s">
        <v>22</v>
      </c>
      <c r="V17" s="63"/>
      <c r="W17" s="64"/>
      <c r="X17" s="64"/>
    </row>
    <row r="18" spans="1:24" s="104" customFormat="1" ht="60">
      <c r="A18" s="63" t="s">
        <v>17</v>
      </c>
      <c r="B18" s="63" t="s">
        <v>48</v>
      </c>
      <c r="C18" s="98" t="s">
        <v>46</v>
      </c>
      <c r="D18" s="51" t="s">
        <v>165</v>
      </c>
      <c r="E18" s="50" t="s">
        <v>215</v>
      </c>
      <c r="F18" s="65" t="s">
        <v>245</v>
      </c>
      <c r="G18" s="63" t="s">
        <v>39</v>
      </c>
      <c r="H18" s="64" t="s">
        <v>19</v>
      </c>
      <c r="I18" s="64" t="s">
        <v>22</v>
      </c>
      <c r="J18" s="67" t="s">
        <v>34</v>
      </c>
      <c r="K18" s="67"/>
      <c r="L18" s="67" t="s">
        <v>34</v>
      </c>
      <c r="M18" s="67"/>
      <c r="N18" s="67"/>
      <c r="O18" s="66" t="s">
        <v>181</v>
      </c>
      <c r="P18" s="66" t="s">
        <v>117</v>
      </c>
      <c r="Q18" s="67" t="s">
        <v>47</v>
      </c>
      <c r="R18" s="67" t="s">
        <v>36</v>
      </c>
      <c r="S18" s="67" t="s">
        <v>37</v>
      </c>
      <c r="T18" s="67" t="s">
        <v>20</v>
      </c>
      <c r="U18" s="67" t="s">
        <v>19</v>
      </c>
      <c r="V18" s="63" t="s">
        <v>127</v>
      </c>
      <c r="W18" s="64" t="s">
        <v>130</v>
      </c>
      <c r="X18" s="64"/>
    </row>
    <row r="19" spans="1:24" s="104" customFormat="1" ht="40.5" customHeight="1">
      <c r="A19" s="63" t="s">
        <v>17</v>
      </c>
      <c r="B19" s="63" t="s">
        <v>48</v>
      </c>
      <c r="C19" s="68" t="s">
        <v>21</v>
      </c>
      <c r="D19" s="56" t="s">
        <v>54</v>
      </c>
      <c r="E19" s="50" t="s">
        <v>216</v>
      </c>
      <c r="F19" s="65" t="s">
        <v>199</v>
      </c>
      <c r="G19" s="63" t="s">
        <v>39</v>
      </c>
      <c r="H19" s="64" t="s">
        <v>19</v>
      </c>
      <c r="I19" s="64" t="s">
        <v>22</v>
      </c>
      <c r="J19" s="67" t="s">
        <v>34</v>
      </c>
      <c r="K19" s="67"/>
      <c r="L19" s="67"/>
      <c r="M19" s="67"/>
      <c r="N19" s="67"/>
      <c r="O19" s="66"/>
      <c r="P19" s="66" t="s">
        <v>117</v>
      </c>
      <c r="Q19" s="67" t="s">
        <v>24</v>
      </c>
      <c r="R19" s="67" t="s">
        <v>36</v>
      </c>
      <c r="S19" s="67" t="s">
        <v>37</v>
      </c>
      <c r="T19" s="67" t="s">
        <v>20</v>
      </c>
      <c r="U19" s="67" t="s">
        <v>22</v>
      </c>
      <c r="V19" s="63"/>
      <c r="W19" s="64"/>
      <c r="X19" s="64"/>
    </row>
    <row r="20" spans="1:24" s="105" customFormat="1" ht="49.5" customHeight="1">
      <c r="A20" s="63" t="s">
        <v>17</v>
      </c>
      <c r="B20" s="66" t="s">
        <v>50</v>
      </c>
      <c r="C20" s="99" t="s">
        <v>61</v>
      </c>
      <c r="D20" s="56" t="s">
        <v>119</v>
      </c>
      <c r="E20" s="50" t="s">
        <v>217</v>
      </c>
      <c r="F20" s="58" t="s">
        <v>162</v>
      </c>
      <c r="G20" s="63" t="s">
        <v>39</v>
      </c>
      <c r="H20" s="66" t="s">
        <v>22</v>
      </c>
      <c r="I20" s="66" t="s">
        <v>22</v>
      </c>
      <c r="J20" s="67" t="s">
        <v>34</v>
      </c>
      <c r="K20" s="67"/>
      <c r="L20" s="67" t="s">
        <v>34</v>
      </c>
      <c r="M20" s="67" t="s">
        <v>34</v>
      </c>
      <c r="N20" s="67"/>
      <c r="O20" s="66" t="s">
        <v>164</v>
      </c>
      <c r="P20" s="66" t="s">
        <v>117</v>
      </c>
      <c r="Q20" s="67" t="s">
        <v>24</v>
      </c>
      <c r="R20" s="67" t="s">
        <v>36</v>
      </c>
      <c r="S20" s="67" t="s">
        <v>37</v>
      </c>
      <c r="T20" s="67" t="s">
        <v>23</v>
      </c>
      <c r="U20" s="66" t="s">
        <v>22</v>
      </c>
      <c r="V20" s="67"/>
      <c r="W20" s="67"/>
      <c r="X20" s="67"/>
    </row>
    <row r="21" spans="1:24" s="104" customFormat="1" ht="51.75" customHeight="1">
      <c r="A21" s="63" t="s">
        <v>17</v>
      </c>
      <c r="B21" s="63" t="s">
        <v>50</v>
      </c>
      <c r="C21" s="68" t="s">
        <v>21</v>
      </c>
      <c r="D21" s="51" t="s">
        <v>51</v>
      </c>
      <c r="E21" s="50" t="s">
        <v>218</v>
      </c>
      <c r="F21" s="65" t="s">
        <v>163</v>
      </c>
      <c r="G21" s="63" t="s">
        <v>39</v>
      </c>
      <c r="H21" s="64" t="s">
        <v>19</v>
      </c>
      <c r="I21" s="64" t="s">
        <v>22</v>
      </c>
      <c r="J21" s="67" t="s">
        <v>34</v>
      </c>
      <c r="K21" s="67"/>
      <c r="L21" s="67" t="s">
        <v>34</v>
      </c>
      <c r="M21" s="67" t="s">
        <v>34</v>
      </c>
      <c r="N21" s="67"/>
      <c r="O21" s="66" t="s">
        <v>58</v>
      </c>
      <c r="P21" s="66" t="s">
        <v>117</v>
      </c>
      <c r="Q21" s="67" t="s">
        <v>35</v>
      </c>
      <c r="R21" s="67" t="s">
        <v>36</v>
      </c>
      <c r="S21" s="67" t="s">
        <v>37</v>
      </c>
      <c r="T21" s="67" t="s">
        <v>20</v>
      </c>
      <c r="U21" s="67" t="s">
        <v>19</v>
      </c>
      <c r="V21" s="64"/>
      <c r="W21" s="64"/>
      <c r="X21" s="64"/>
    </row>
    <row r="22" spans="1:24" s="103" customFormat="1" ht="53.25" customHeight="1">
      <c r="A22" s="63" t="s">
        <v>17</v>
      </c>
      <c r="B22" s="63" t="s">
        <v>200</v>
      </c>
      <c r="C22" s="101" t="s">
        <v>46</v>
      </c>
      <c r="D22" s="65" t="s">
        <v>201</v>
      </c>
      <c r="E22" s="50" t="s">
        <v>219</v>
      </c>
      <c r="F22" s="102" t="s">
        <v>236</v>
      </c>
      <c r="G22" s="50" t="s">
        <v>39</v>
      </c>
      <c r="H22" s="50" t="s">
        <v>19</v>
      </c>
      <c r="I22" s="50" t="s">
        <v>22</v>
      </c>
      <c r="J22" s="67" t="s">
        <v>34</v>
      </c>
      <c r="K22" s="67" t="s">
        <v>34</v>
      </c>
      <c r="L22" s="67" t="s">
        <v>34</v>
      </c>
      <c r="M22" s="67" t="s">
        <v>34</v>
      </c>
      <c r="N22" s="67"/>
      <c r="O22" s="66"/>
      <c r="P22" s="66" t="s">
        <v>117</v>
      </c>
      <c r="Q22" s="67" t="s">
        <v>24</v>
      </c>
      <c r="R22" s="66" t="s">
        <v>36</v>
      </c>
      <c r="S22" s="67" t="s">
        <v>37</v>
      </c>
      <c r="T22" s="67" t="s">
        <v>20</v>
      </c>
      <c r="U22" s="115" t="s">
        <v>19</v>
      </c>
      <c r="W22" s="64"/>
      <c r="X22" s="45"/>
    </row>
    <row r="23" spans="1:24" s="103" customFormat="1" ht="57.75" customHeight="1">
      <c r="A23" s="63" t="s">
        <v>17</v>
      </c>
      <c r="B23" s="47" t="s">
        <v>43</v>
      </c>
      <c r="C23" s="98" t="s">
        <v>46</v>
      </c>
      <c r="D23" s="62" t="s">
        <v>172</v>
      </c>
      <c r="E23" s="50" t="s">
        <v>220</v>
      </c>
      <c r="F23" s="65" t="s">
        <v>241</v>
      </c>
      <c r="G23" s="63" t="s">
        <v>39</v>
      </c>
      <c r="H23" s="64" t="s">
        <v>19</v>
      </c>
      <c r="I23" s="64" t="s">
        <v>19</v>
      </c>
      <c r="J23" s="67" t="s">
        <v>34</v>
      </c>
      <c r="K23" s="67" t="s">
        <v>34</v>
      </c>
      <c r="L23" s="67" t="s">
        <v>34</v>
      </c>
      <c r="M23" s="67" t="s">
        <v>34</v>
      </c>
      <c r="N23" s="67"/>
      <c r="O23" s="66" t="s">
        <v>173</v>
      </c>
      <c r="P23" s="66" t="s">
        <v>117</v>
      </c>
      <c r="Q23" s="67" t="s">
        <v>35</v>
      </c>
      <c r="R23" s="67" t="s">
        <v>36</v>
      </c>
      <c r="S23" s="67" t="s">
        <v>37</v>
      </c>
      <c r="T23" s="67" t="s">
        <v>20</v>
      </c>
      <c r="U23" s="67" t="s">
        <v>19</v>
      </c>
      <c r="V23" s="64"/>
      <c r="W23" s="45"/>
      <c r="X23" s="45"/>
    </row>
    <row r="24" spans="1:24" s="103" customFormat="1" ht="48">
      <c r="A24" s="63" t="s">
        <v>17</v>
      </c>
      <c r="B24" s="63" t="s">
        <v>202</v>
      </c>
      <c r="C24" s="101" t="s">
        <v>46</v>
      </c>
      <c r="D24" s="65" t="s">
        <v>203</v>
      </c>
      <c r="E24" s="50" t="s">
        <v>221</v>
      </c>
      <c r="F24" s="58" t="s">
        <v>237</v>
      </c>
      <c r="G24" s="50" t="s">
        <v>39</v>
      </c>
      <c r="H24" s="64" t="s">
        <v>19</v>
      </c>
      <c r="I24" s="64" t="s">
        <v>19</v>
      </c>
      <c r="J24" s="67" t="s">
        <v>34</v>
      </c>
      <c r="K24" s="67" t="s">
        <v>34</v>
      </c>
      <c r="L24" s="67" t="s">
        <v>34</v>
      </c>
      <c r="M24" s="67" t="s">
        <v>34</v>
      </c>
      <c r="N24" s="67"/>
      <c r="O24" s="66"/>
      <c r="P24" s="66" t="s">
        <v>117</v>
      </c>
      <c r="Q24" s="67" t="s">
        <v>35</v>
      </c>
      <c r="R24" s="67" t="s">
        <v>36</v>
      </c>
      <c r="S24" s="67" t="s">
        <v>37</v>
      </c>
      <c r="T24" s="67" t="s">
        <v>20</v>
      </c>
      <c r="U24" s="115" t="s">
        <v>22</v>
      </c>
      <c r="W24" s="64"/>
      <c r="X24" s="45"/>
    </row>
    <row r="25" spans="1:24" s="103" customFormat="1" ht="48.75" customHeight="1">
      <c r="A25" s="63" t="s">
        <v>17</v>
      </c>
      <c r="B25" s="47" t="s">
        <v>43</v>
      </c>
      <c r="C25" s="98" t="s">
        <v>46</v>
      </c>
      <c r="D25" s="57" t="s">
        <v>174</v>
      </c>
      <c r="E25" s="50" t="s">
        <v>222</v>
      </c>
      <c r="F25" s="65" t="s">
        <v>242</v>
      </c>
      <c r="G25" s="63" t="s">
        <v>39</v>
      </c>
      <c r="H25" s="63" t="s">
        <v>22</v>
      </c>
      <c r="I25" s="63" t="s">
        <v>19</v>
      </c>
      <c r="J25" s="67" t="s">
        <v>34</v>
      </c>
      <c r="K25" s="67" t="s">
        <v>34</v>
      </c>
      <c r="L25" s="67" t="s">
        <v>34</v>
      </c>
      <c r="M25" s="67" t="s">
        <v>34</v>
      </c>
      <c r="N25" s="67"/>
      <c r="O25" s="66" t="s">
        <v>59</v>
      </c>
      <c r="P25" s="66" t="s">
        <v>117</v>
      </c>
      <c r="Q25" s="67" t="s">
        <v>35</v>
      </c>
      <c r="R25" s="67" t="s">
        <v>36</v>
      </c>
      <c r="S25" s="67" t="s">
        <v>37</v>
      </c>
      <c r="T25" s="67" t="s">
        <v>20</v>
      </c>
      <c r="U25" s="66" t="s">
        <v>22</v>
      </c>
      <c r="V25" s="64"/>
      <c r="W25" s="45"/>
      <c r="X25" s="45"/>
    </row>
    <row r="26" spans="1:24" s="103" customFormat="1" ht="24">
      <c r="A26" s="63" t="s">
        <v>17</v>
      </c>
      <c r="B26" s="47" t="s">
        <v>44</v>
      </c>
      <c r="C26" s="118" t="s">
        <v>61</v>
      </c>
      <c r="D26" s="57" t="s">
        <v>243</v>
      </c>
      <c r="E26" s="50" t="s">
        <v>223</v>
      </c>
      <c r="F26" s="65" t="s">
        <v>118</v>
      </c>
      <c r="G26" s="63" t="s">
        <v>39</v>
      </c>
      <c r="H26" s="64" t="s">
        <v>19</v>
      </c>
      <c r="I26" s="45" t="s">
        <v>22</v>
      </c>
      <c r="J26" s="67" t="s">
        <v>34</v>
      </c>
      <c r="K26" s="67" t="s">
        <v>34</v>
      </c>
      <c r="L26" s="67" t="s">
        <v>34</v>
      </c>
      <c r="M26" s="67" t="s">
        <v>34</v>
      </c>
      <c r="N26" s="67"/>
      <c r="O26" s="66" t="s">
        <v>67</v>
      </c>
      <c r="P26" s="66" t="s">
        <v>117</v>
      </c>
      <c r="Q26" s="67" t="s">
        <v>35</v>
      </c>
      <c r="R26" s="67" t="s">
        <v>36</v>
      </c>
      <c r="S26" s="67" t="s">
        <v>37</v>
      </c>
      <c r="T26" s="67" t="s">
        <v>23</v>
      </c>
      <c r="U26" s="67" t="s">
        <v>22</v>
      </c>
      <c r="V26" s="63"/>
      <c r="W26" s="45"/>
      <c r="X26" s="45"/>
    </row>
    <row r="27" spans="1:24" s="103" customFormat="1" ht="72">
      <c r="A27" s="63" t="s">
        <v>17</v>
      </c>
      <c r="B27" s="47" t="s">
        <v>45</v>
      </c>
      <c r="C27" s="98" t="s">
        <v>46</v>
      </c>
      <c r="D27" s="57" t="s">
        <v>175</v>
      </c>
      <c r="E27" s="50" t="s">
        <v>224</v>
      </c>
      <c r="F27" s="65" t="s">
        <v>238</v>
      </c>
      <c r="G27" s="63" t="s">
        <v>39</v>
      </c>
      <c r="H27" s="45" t="s">
        <v>19</v>
      </c>
      <c r="I27" s="64" t="s">
        <v>22</v>
      </c>
      <c r="J27" s="67" t="s">
        <v>34</v>
      </c>
      <c r="K27" s="67" t="s">
        <v>34</v>
      </c>
      <c r="L27" s="67"/>
      <c r="M27" s="67"/>
      <c r="N27" s="67"/>
      <c r="O27" s="66" t="s">
        <v>244</v>
      </c>
      <c r="P27" s="66" t="s">
        <v>117</v>
      </c>
      <c r="Q27" s="67" t="s">
        <v>47</v>
      </c>
      <c r="R27" s="67" t="s">
        <v>36</v>
      </c>
      <c r="S27" s="67" t="s">
        <v>37</v>
      </c>
      <c r="T27" s="67" t="s">
        <v>20</v>
      </c>
      <c r="U27" s="67" t="s">
        <v>19</v>
      </c>
      <c r="V27" s="63"/>
      <c r="W27" s="45"/>
      <c r="X27" s="45"/>
    </row>
    <row r="28" spans="1:24" s="103" customFormat="1" ht="95.25" customHeight="1">
      <c r="A28" s="63" t="s">
        <v>17</v>
      </c>
      <c r="B28" s="47" t="s">
        <v>45</v>
      </c>
      <c r="C28" s="68" t="s">
        <v>21</v>
      </c>
      <c r="D28" s="60" t="s">
        <v>18</v>
      </c>
      <c r="E28" s="50" t="s">
        <v>225</v>
      </c>
      <c r="F28" s="65" t="s">
        <v>171</v>
      </c>
      <c r="G28" s="63" t="s">
        <v>39</v>
      </c>
      <c r="H28" s="64" t="s">
        <v>19</v>
      </c>
      <c r="I28" s="45" t="s">
        <v>22</v>
      </c>
      <c r="J28" s="67"/>
      <c r="K28" s="67"/>
      <c r="L28" s="67" t="s">
        <v>34</v>
      </c>
      <c r="M28" s="67"/>
      <c r="N28" s="67"/>
      <c r="O28" s="66" t="s">
        <v>60</v>
      </c>
      <c r="P28" s="66" t="s">
        <v>117</v>
      </c>
      <c r="Q28" s="67" t="s">
        <v>24</v>
      </c>
      <c r="R28" s="67" t="s">
        <v>36</v>
      </c>
      <c r="S28" s="67" t="s">
        <v>37</v>
      </c>
      <c r="T28" s="67" t="s">
        <v>23</v>
      </c>
      <c r="U28" s="67" t="s">
        <v>19</v>
      </c>
      <c r="V28" s="64"/>
      <c r="W28" s="45"/>
      <c r="X28" s="45"/>
    </row>
    <row r="29" spans="1:24" s="103" customFormat="1" ht="72">
      <c r="A29" s="63" t="s">
        <v>17</v>
      </c>
      <c r="B29" s="47" t="s">
        <v>52</v>
      </c>
      <c r="C29" s="68" t="s">
        <v>21</v>
      </c>
      <c r="D29" s="60" t="s">
        <v>168</v>
      </c>
      <c r="E29" s="50" t="s">
        <v>226</v>
      </c>
      <c r="F29" s="65" t="s">
        <v>231</v>
      </c>
      <c r="G29" s="63" t="s">
        <v>39</v>
      </c>
      <c r="H29" s="64" t="s">
        <v>19</v>
      </c>
      <c r="I29" s="45" t="s">
        <v>22</v>
      </c>
      <c r="J29" s="67"/>
      <c r="K29" s="67"/>
      <c r="L29" s="67" t="s">
        <v>34</v>
      </c>
      <c r="M29" s="67"/>
      <c r="N29" s="67"/>
      <c r="O29" s="66" t="s">
        <v>120</v>
      </c>
      <c r="P29" s="66" t="s">
        <v>121</v>
      </c>
      <c r="Q29" s="67" t="s">
        <v>47</v>
      </c>
      <c r="R29" s="67" t="s">
        <v>36</v>
      </c>
      <c r="S29" s="67" t="s">
        <v>37</v>
      </c>
      <c r="T29" s="67" t="s">
        <v>20</v>
      </c>
      <c r="U29" s="67" t="s">
        <v>19</v>
      </c>
      <c r="V29" s="64"/>
      <c r="W29" s="45"/>
      <c r="X29" s="45"/>
    </row>
    <row r="30" spans="1:24" s="103" customFormat="1" ht="84">
      <c r="A30" s="63" t="s">
        <v>17</v>
      </c>
      <c r="B30" s="47" t="s">
        <v>122</v>
      </c>
      <c r="C30" s="68" t="s">
        <v>21</v>
      </c>
      <c r="D30" s="60" t="s">
        <v>169</v>
      </c>
      <c r="E30" s="50" t="s">
        <v>227</v>
      </c>
      <c r="F30" s="65" t="s">
        <v>179</v>
      </c>
      <c r="G30" s="63" t="s">
        <v>39</v>
      </c>
      <c r="H30" s="45" t="s">
        <v>19</v>
      </c>
      <c r="I30" s="45" t="s">
        <v>19</v>
      </c>
      <c r="J30" s="67" t="s">
        <v>34</v>
      </c>
      <c r="K30" s="67" t="s">
        <v>34</v>
      </c>
      <c r="L30" s="67" t="s">
        <v>34</v>
      </c>
      <c r="M30" s="67" t="s">
        <v>34</v>
      </c>
      <c r="N30" s="67"/>
      <c r="O30" s="66" t="s">
        <v>170</v>
      </c>
      <c r="P30" s="66" t="s">
        <v>117</v>
      </c>
      <c r="Q30" s="67" t="s">
        <v>24</v>
      </c>
      <c r="R30" s="67" t="s">
        <v>36</v>
      </c>
      <c r="S30" s="67" t="s">
        <v>37</v>
      </c>
      <c r="T30" s="67" t="s">
        <v>20</v>
      </c>
      <c r="U30" s="67" t="s">
        <v>19</v>
      </c>
      <c r="V30" s="63"/>
      <c r="W30" s="45"/>
      <c r="X30" s="45"/>
    </row>
    <row r="31" spans="1:24" ht="36">
      <c r="A31" s="63" t="s">
        <v>17</v>
      </c>
      <c r="B31" s="47" t="s">
        <v>122</v>
      </c>
      <c r="C31" s="68" t="s">
        <v>21</v>
      </c>
      <c r="D31" s="124" t="s">
        <v>247</v>
      </c>
      <c r="E31" s="50" t="s">
        <v>248</v>
      </c>
      <c r="F31" s="58" t="s">
        <v>250</v>
      </c>
      <c r="G31" s="63" t="s">
        <v>39</v>
      </c>
      <c r="H31" s="45" t="s">
        <v>19</v>
      </c>
      <c r="I31" s="45" t="s">
        <v>19</v>
      </c>
      <c r="J31" s="67" t="s">
        <v>34</v>
      </c>
      <c r="K31" s="67" t="s">
        <v>34</v>
      </c>
      <c r="L31" s="67" t="s">
        <v>34</v>
      </c>
      <c r="M31" s="121"/>
      <c r="N31" s="121"/>
      <c r="O31" s="122" t="s">
        <v>249</v>
      </c>
      <c r="P31" s="66" t="s">
        <v>117</v>
      </c>
      <c r="Q31" s="121" t="s">
        <v>47</v>
      </c>
      <c r="R31" s="67" t="s">
        <v>36</v>
      </c>
      <c r="S31" s="67" t="s">
        <v>37</v>
      </c>
      <c r="T31" s="67" t="s">
        <v>20</v>
      </c>
      <c r="U31" s="67" t="s">
        <v>19</v>
      </c>
      <c r="V31" s="120"/>
      <c r="W31" s="120"/>
      <c r="X31" s="123"/>
    </row>
  </sheetData>
  <autoFilter ref="A6:X31"/>
  <mergeCells count="4">
    <mergeCell ref="J5:N5"/>
    <mergeCell ref="P5:U5"/>
    <mergeCell ref="V5:W5"/>
    <mergeCell ref="A1:D1"/>
  </mergeCells>
  <conditionalFormatting sqref="C8:C9">
    <cfRule type="cellIs" dxfId="8" priority="10" operator="equal">
      <formula>"Medium"</formula>
    </cfRule>
    <cfRule type="cellIs" dxfId="7" priority="11" operator="equal">
      <formula>"High"</formula>
    </cfRule>
    <cfRule type="cellIs" dxfId="6" priority="12" operator="equal">
      <formula>"Low"</formula>
    </cfRule>
  </conditionalFormatting>
  <conditionalFormatting sqref="C7">
    <cfRule type="cellIs" dxfId="5" priority="13" operator="equal">
      <formula>"Medium"</formula>
    </cfRule>
    <cfRule type="cellIs" dxfId="4" priority="14" operator="equal">
      <formula>"High"</formula>
    </cfRule>
    <cfRule type="cellIs" dxfId="3" priority="15" operator="equal">
      <formula>"Low"</formula>
    </cfRule>
  </conditionalFormatting>
  <conditionalFormatting sqref="C10:C11">
    <cfRule type="cellIs" dxfId="2" priority="4" operator="equal">
      <formula>"Medium"</formula>
    </cfRule>
    <cfRule type="cellIs" dxfId="1" priority="5" operator="equal">
      <formula>"High"</formula>
    </cfRule>
    <cfRule type="cellIs" dxfId="0" priority="6" operator="equal">
      <formula>"Low"</formula>
    </cfRule>
  </conditionalFormatting>
  <pageMargins left="0.15748031496062992" right="0.15748031496062992" top="0.19685039370078741" bottom="0.19685039370078741" header="0.15748031496062992" footer="0.15748031496062992"/>
  <pageSetup paperSize="9" scale="34"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N7"/>
  <sheetViews>
    <sheetView topLeftCell="D1" workbookViewId="0">
      <selection activeCell="J6" sqref="J6"/>
    </sheetView>
  </sheetViews>
  <sheetFormatPr defaultRowHeight="15"/>
  <cols>
    <col min="1" max="1" width="6.85546875" bestFit="1" customWidth="1"/>
    <col min="2" max="2" width="13.140625" bestFit="1" customWidth="1"/>
    <col min="3" max="3" width="20.5703125" customWidth="1"/>
    <col min="4" max="4" width="35.28515625" customWidth="1"/>
    <col min="5" max="5" width="11.42578125" bestFit="1" customWidth="1"/>
    <col min="6" max="6" width="44.42578125" customWidth="1"/>
    <col min="7" max="7" width="14.28515625" customWidth="1"/>
    <col min="8" max="8" width="17.28515625" customWidth="1"/>
    <col min="9" max="9" width="18.85546875" bestFit="1" customWidth="1"/>
    <col min="10" max="10" width="18" customWidth="1"/>
    <col min="11" max="11" width="9.42578125" customWidth="1"/>
    <col min="12" max="12" width="31.42578125" customWidth="1"/>
    <col min="13" max="13" width="22.5703125" customWidth="1"/>
    <col min="14" max="14" width="27.42578125" bestFit="1" customWidth="1"/>
  </cols>
  <sheetData>
    <row r="1" spans="1:14" ht="15.75">
      <c r="A1" s="165" t="s">
        <v>133</v>
      </c>
      <c r="B1" s="165"/>
      <c r="C1" s="165"/>
      <c r="D1" s="165"/>
      <c r="E1" s="165"/>
      <c r="F1" s="12"/>
      <c r="G1" s="12"/>
      <c r="H1" s="12"/>
      <c r="I1" s="12"/>
      <c r="J1" s="12"/>
      <c r="K1" s="12"/>
      <c r="L1" s="12"/>
      <c r="M1" s="12"/>
      <c r="N1" s="12"/>
    </row>
    <row r="2" spans="1:14">
      <c r="A2" s="7" t="s">
        <v>69</v>
      </c>
      <c r="B2" s="8" t="s">
        <v>125</v>
      </c>
      <c r="C2" s="9"/>
      <c r="D2" s="9"/>
      <c r="E2" s="9"/>
      <c r="F2" s="12"/>
      <c r="G2" s="12"/>
      <c r="H2" s="12"/>
      <c r="I2" s="12"/>
      <c r="J2" s="12"/>
      <c r="K2" s="12"/>
      <c r="L2" s="12"/>
      <c r="M2" s="12"/>
      <c r="N2" s="12"/>
    </row>
    <row r="3" spans="1:14">
      <c r="A3" s="7" t="s">
        <v>25</v>
      </c>
      <c r="B3" s="8" t="s">
        <v>131</v>
      </c>
      <c r="C3" s="9"/>
      <c r="D3" s="9"/>
      <c r="E3" s="9"/>
      <c r="F3" s="12"/>
      <c r="G3" s="12"/>
      <c r="H3" s="12"/>
      <c r="I3" s="12"/>
      <c r="J3" s="12"/>
      <c r="K3" s="12"/>
      <c r="L3" s="12"/>
      <c r="M3" s="12"/>
      <c r="N3" s="12"/>
    </row>
    <row r="4" spans="1:14">
      <c r="A4" s="10" t="s">
        <v>26</v>
      </c>
      <c r="B4" s="11" t="s">
        <v>55</v>
      </c>
      <c r="C4" s="9"/>
      <c r="D4" s="9"/>
      <c r="E4" s="9"/>
      <c r="F4" s="12"/>
      <c r="G4" s="12"/>
      <c r="H4" s="12"/>
      <c r="I4" s="12"/>
      <c r="J4" s="12"/>
      <c r="K4" s="12"/>
      <c r="L4" s="12"/>
      <c r="M4" s="12"/>
      <c r="N4" s="12"/>
    </row>
    <row r="5" spans="1:14">
      <c r="A5" s="166" t="s">
        <v>70</v>
      </c>
      <c r="B5" s="166" t="s">
        <v>71</v>
      </c>
      <c r="C5" s="166" t="s">
        <v>1</v>
      </c>
      <c r="D5" s="166" t="s">
        <v>27</v>
      </c>
      <c r="E5" s="166" t="s">
        <v>72</v>
      </c>
      <c r="F5" s="166" t="s">
        <v>73</v>
      </c>
      <c r="G5" s="166" t="s">
        <v>74</v>
      </c>
      <c r="H5" s="46" t="s">
        <v>75</v>
      </c>
      <c r="I5" s="46" t="s">
        <v>76</v>
      </c>
      <c r="J5" s="46" t="s">
        <v>77</v>
      </c>
      <c r="K5" s="166" t="s">
        <v>125</v>
      </c>
      <c r="L5" s="166"/>
      <c r="M5" s="166"/>
      <c r="N5" s="166"/>
    </row>
    <row r="6" spans="1:14" ht="24">
      <c r="A6" s="166"/>
      <c r="B6" s="166"/>
      <c r="C6" s="166"/>
      <c r="D6" s="166"/>
      <c r="E6" s="166"/>
      <c r="F6" s="166"/>
      <c r="G6" s="166"/>
      <c r="H6" s="46" t="s">
        <v>78</v>
      </c>
      <c r="I6" s="46" t="s">
        <v>79</v>
      </c>
      <c r="J6" s="46" t="s">
        <v>251</v>
      </c>
      <c r="K6" s="46" t="s">
        <v>80</v>
      </c>
      <c r="L6" s="46" t="s">
        <v>81</v>
      </c>
      <c r="M6" s="46" t="s">
        <v>82</v>
      </c>
      <c r="N6" s="46" t="s">
        <v>83</v>
      </c>
    </row>
    <row r="7" spans="1:14" ht="65.25" customHeight="1">
      <c r="A7" s="47">
        <v>3</v>
      </c>
      <c r="B7" s="48" t="s">
        <v>84</v>
      </c>
      <c r="C7" s="49" t="s">
        <v>126</v>
      </c>
      <c r="D7" s="51" t="s">
        <v>49</v>
      </c>
      <c r="E7" s="52" t="s">
        <v>85</v>
      </c>
      <c r="F7" s="59" t="s">
        <v>127</v>
      </c>
      <c r="G7" s="50" t="s">
        <v>19</v>
      </c>
      <c r="H7" s="53" t="s">
        <v>40</v>
      </c>
      <c r="I7" s="54" t="s">
        <v>86</v>
      </c>
      <c r="J7" s="55" t="s">
        <v>68</v>
      </c>
      <c r="K7" s="47" t="s">
        <v>19</v>
      </c>
      <c r="L7" s="58" t="s">
        <v>128</v>
      </c>
      <c r="M7" s="57" t="s">
        <v>117</v>
      </c>
      <c r="N7" s="56" t="s">
        <v>129</v>
      </c>
    </row>
  </sheetData>
  <mergeCells count="9">
    <mergeCell ref="A1:E1"/>
    <mergeCell ref="G5:G6"/>
    <mergeCell ref="K5:N5"/>
    <mergeCell ref="A5:A6"/>
    <mergeCell ref="B5:B6"/>
    <mergeCell ref="C5:C6"/>
    <mergeCell ref="D5:D6"/>
    <mergeCell ref="E5:E6"/>
    <mergeCell ref="F5:F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G28"/>
  <sheetViews>
    <sheetView showGridLines="0" workbookViewId="0">
      <selection activeCell="E36" sqref="E36"/>
    </sheetView>
  </sheetViews>
  <sheetFormatPr defaultRowHeight="12"/>
  <cols>
    <col min="1" max="1" width="2.42578125" style="13" customWidth="1"/>
    <col min="2" max="2" width="26.42578125" style="13" customWidth="1"/>
    <col min="3" max="3" width="14.42578125" style="13" customWidth="1"/>
    <col min="4" max="4" width="15.42578125" style="13" customWidth="1"/>
    <col min="5" max="5" width="15.28515625" style="13" customWidth="1"/>
    <col min="6" max="6" width="18.5703125" style="13" customWidth="1"/>
    <col min="7" max="7" width="2.42578125" style="13" customWidth="1"/>
    <col min="8" max="16384" width="9.140625" style="13"/>
  </cols>
  <sheetData>
    <row r="1" spans="1:7">
      <c r="A1" s="167" t="s">
        <v>87</v>
      </c>
      <c r="B1" s="167"/>
      <c r="C1" s="167"/>
      <c r="D1" s="167"/>
      <c r="E1" s="167"/>
      <c r="F1" s="167"/>
      <c r="G1" s="167"/>
    </row>
    <row r="2" spans="1:7">
      <c r="B2" s="14"/>
      <c r="C2" s="14"/>
      <c r="D2" s="14"/>
      <c r="E2" s="14"/>
      <c r="F2" s="14"/>
    </row>
    <row r="3" spans="1:7" ht="12.75" thickBot="1">
      <c r="A3" s="15"/>
      <c r="B3" s="15"/>
      <c r="C3" s="15"/>
      <c r="D3" s="15"/>
      <c r="E3" s="15"/>
      <c r="F3" s="15"/>
      <c r="G3" s="15"/>
    </row>
    <row r="4" spans="1:7" ht="12" customHeight="1">
      <c r="A4" s="15"/>
      <c r="B4" s="168" t="s">
        <v>132</v>
      </c>
      <c r="C4" s="169"/>
      <c r="D4" s="169"/>
      <c r="E4" s="169"/>
      <c r="F4" s="170"/>
      <c r="G4" s="15"/>
    </row>
    <row r="5" spans="1:7">
      <c r="A5" s="15"/>
      <c r="B5" s="171"/>
      <c r="C5" s="172"/>
      <c r="D5" s="172"/>
      <c r="E5" s="172"/>
      <c r="F5" s="173"/>
      <c r="G5" s="15"/>
    </row>
    <row r="6" spans="1:7">
      <c r="A6" s="15"/>
      <c r="B6" s="171"/>
      <c r="C6" s="172"/>
      <c r="D6" s="172"/>
      <c r="E6" s="172"/>
      <c r="F6" s="173"/>
      <c r="G6" s="15"/>
    </row>
    <row r="7" spans="1:7">
      <c r="A7" s="15"/>
      <c r="B7" s="171"/>
      <c r="C7" s="172"/>
      <c r="D7" s="172"/>
      <c r="E7" s="172"/>
      <c r="F7" s="173"/>
      <c r="G7" s="15"/>
    </row>
    <row r="8" spans="1:7">
      <c r="A8" s="15"/>
      <c r="B8" s="171"/>
      <c r="C8" s="172"/>
      <c r="D8" s="172"/>
      <c r="E8" s="172"/>
      <c r="F8" s="173"/>
      <c r="G8" s="15"/>
    </row>
    <row r="9" spans="1:7">
      <c r="A9" s="15"/>
      <c r="B9" s="171"/>
      <c r="C9" s="172"/>
      <c r="D9" s="172"/>
      <c r="E9" s="172"/>
      <c r="F9" s="173"/>
      <c r="G9" s="15"/>
    </row>
    <row r="10" spans="1:7">
      <c r="A10" s="15"/>
      <c r="B10" s="171"/>
      <c r="C10" s="172"/>
      <c r="D10" s="172"/>
      <c r="E10" s="172"/>
      <c r="F10" s="173"/>
      <c r="G10" s="15"/>
    </row>
    <row r="11" spans="1:7">
      <c r="A11" s="15"/>
      <c r="B11" s="171"/>
      <c r="C11" s="172"/>
      <c r="D11" s="172"/>
      <c r="E11" s="172"/>
      <c r="F11" s="173"/>
      <c r="G11" s="15"/>
    </row>
    <row r="12" spans="1:7">
      <c r="A12" s="15"/>
      <c r="B12" s="171"/>
      <c r="C12" s="172"/>
      <c r="D12" s="172"/>
      <c r="E12" s="172"/>
      <c r="F12" s="173"/>
      <c r="G12" s="15"/>
    </row>
    <row r="13" spans="1:7">
      <c r="A13" s="15"/>
      <c r="B13" s="171"/>
      <c r="C13" s="172"/>
      <c r="D13" s="172"/>
      <c r="E13" s="172"/>
      <c r="F13" s="173"/>
      <c r="G13" s="15"/>
    </row>
    <row r="14" spans="1:7">
      <c r="A14" s="15"/>
      <c r="B14" s="171"/>
      <c r="C14" s="172"/>
      <c r="D14" s="172"/>
      <c r="E14" s="172"/>
      <c r="F14" s="173"/>
      <c r="G14" s="15"/>
    </row>
    <row r="15" spans="1:7">
      <c r="A15" s="15"/>
      <c r="B15" s="171"/>
      <c r="C15" s="172"/>
      <c r="D15" s="172"/>
      <c r="E15" s="172"/>
      <c r="F15" s="173"/>
      <c r="G15" s="15"/>
    </row>
    <row r="16" spans="1:7">
      <c r="A16" s="15"/>
      <c r="B16" s="171"/>
      <c r="C16" s="172"/>
      <c r="D16" s="172"/>
      <c r="E16" s="172"/>
      <c r="F16" s="173"/>
      <c r="G16" s="15"/>
    </row>
    <row r="17" spans="1:7">
      <c r="A17" s="15"/>
      <c r="B17" s="171"/>
      <c r="C17" s="172"/>
      <c r="D17" s="172"/>
      <c r="E17" s="172"/>
      <c r="F17" s="173"/>
      <c r="G17" s="15"/>
    </row>
    <row r="18" spans="1:7">
      <c r="A18" s="15"/>
      <c r="B18" s="171"/>
      <c r="C18" s="172"/>
      <c r="D18" s="172"/>
      <c r="E18" s="172"/>
      <c r="F18" s="173"/>
      <c r="G18" s="15"/>
    </row>
    <row r="19" spans="1:7">
      <c r="A19" s="15"/>
      <c r="B19" s="171"/>
      <c r="C19" s="172"/>
      <c r="D19" s="172"/>
      <c r="E19" s="172"/>
      <c r="F19" s="173"/>
      <c r="G19" s="15"/>
    </row>
    <row r="20" spans="1:7">
      <c r="A20" s="15"/>
      <c r="B20" s="171"/>
      <c r="C20" s="172"/>
      <c r="D20" s="172"/>
      <c r="E20" s="172"/>
      <c r="F20" s="173"/>
      <c r="G20" s="15"/>
    </row>
    <row r="21" spans="1:7">
      <c r="A21" s="15"/>
      <c r="B21" s="171"/>
      <c r="C21" s="172"/>
      <c r="D21" s="172"/>
      <c r="E21" s="172"/>
      <c r="F21" s="173"/>
      <c r="G21" s="15"/>
    </row>
    <row r="22" spans="1:7">
      <c r="A22" s="15"/>
      <c r="B22" s="171"/>
      <c r="C22" s="172"/>
      <c r="D22" s="172"/>
      <c r="E22" s="172"/>
      <c r="F22" s="173"/>
      <c r="G22" s="15"/>
    </row>
    <row r="23" spans="1:7" ht="12.75" thickBot="1">
      <c r="A23" s="15"/>
      <c r="B23" s="174"/>
      <c r="C23" s="175"/>
      <c r="D23" s="175"/>
      <c r="E23" s="175"/>
      <c r="F23" s="176"/>
      <c r="G23" s="15"/>
    </row>
    <row r="24" spans="1:7">
      <c r="A24" s="15"/>
      <c r="B24" s="16"/>
      <c r="C24" s="16"/>
      <c r="D24" s="16"/>
      <c r="E24" s="16"/>
      <c r="F24" s="16"/>
      <c r="G24" s="15"/>
    </row>
    <row r="25" spans="1:7">
      <c r="B25" s="17"/>
      <c r="C25" s="17"/>
      <c r="D25" s="17"/>
      <c r="E25" s="17"/>
      <c r="F25" s="17"/>
    </row>
    <row r="26" spans="1:7">
      <c r="B26" s="17"/>
      <c r="C26" s="17"/>
      <c r="D26" s="17"/>
      <c r="E26" s="17"/>
      <c r="F26" s="17"/>
    </row>
    <row r="27" spans="1:7">
      <c r="B27" s="18"/>
      <c r="C27" s="18"/>
      <c r="D27" s="18"/>
      <c r="E27" s="18"/>
      <c r="F27" s="18"/>
    </row>
    <row r="28" spans="1:7">
      <c r="B28" s="18"/>
      <c r="C28" s="18"/>
      <c r="D28" s="18"/>
      <c r="E28" s="18"/>
      <c r="F28" s="18"/>
    </row>
  </sheetData>
  <mergeCells count="2">
    <mergeCell ref="A1:G1"/>
    <mergeCell ref="B4:F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Page</vt:lpstr>
      <vt:lpstr>Index</vt:lpstr>
      <vt:lpstr>Coverage_Map</vt:lpstr>
      <vt:lpstr>RACM</vt:lpstr>
      <vt:lpstr>Internal Control Improvements</vt:lpstr>
      <vt:lpstr>Disclaimer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2016-02-06T05:12:23Z</dcterms:modified>
</cp:coreProperties>
</file>